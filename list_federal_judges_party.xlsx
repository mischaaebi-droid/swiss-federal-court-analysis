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sch\project3-bundesgericht\"/>
    </mc:Choice>
  </mc:AlternateContent>
  <xr:revisionPtr revIDLastSave="0" documentId="13_ncr:1_{91388054-5E64-442B-9275-D9CF914EFC0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</calcChain>
</file>

<file path=xl/sharedStrings.xml><?xml version="1.0" encoding="utf-8"?>
<sst xmlns="http://schemas.openxmlformats.org/spreadsheetml/2006/main" count="311" uniqueCount="207">
  <si>
    <t>SP</t>
  </si>
  <si>
    <t>SVP</t>
  </si>
  <si>
    <t>FDP</t>
  </si>
  <si>
    <t>Hänni</t>
  </si>
  <si>
    <t>Richard Weber</t>
  </si>
  <si>
    <t>Tanja Petrik-Haltiner</t>
  </si>
  <si>
    <t>Athos Mecca</t>
  </si>
  <si>
    <t>Christoph Bürki</t>
  </si>
  <si>
    <t>Dominique Hänni</t>
  </si>
  <si>
    <t>Markus Berger</t>
  </si>
  <si>
    <t>Fabrizio Monaci</t>
  </si>
  <si>
    <t>Sarah Bechaalany</t>
  </si>
  <si>
    <t>Serge Segura</t>
  </si>
  <si>
    <t>Mattia Pontarolo</t>
  </si>
  <si>
    <t>Christine Arndt</t>
  </si>
  <si>
    <t>Catherine Reiter</t>
  </si>
  <si>
    <t>Céline Courbat</t>
  </si>
  <si>
    <t>Cordula Lötscher</t>
  </si>
  <si>
    <t>Leonora Marti-Schreier</t>
  </si>
  <si>
    <t>Patrick Bischoff</t>
  </si>
  <si>
    <t>Caroline Schär</t>
  </si>
  <si>
    <t>Petrik-Haltiner</t>
  </si>
  <si>
    <t>Mecca</t>
  </si>
  <si>
    <t>Bürki</t>
  </si>
  <si>
    <t>Berger</t>
  </si>
  <si>
    <t>Vincent Martenet</t>
  </si>
  <si>
    <t>Weber</t>
  </si>
  <si>
    <t>Monaci</t>
  </si>
  <si>
    <t>Bechaalany</t>
  </si>
  <si>
    <t>Segura</t>
  </si>
  <si>
    <t>Pontarolo</t>
  </si>
  <si>
    <t>Arndt</t>
  </si>
  <si>
    <t>Reiter</t>
  </si>
  <si>
    <t>Courbat</t>
  </si>
  <si>
    <t>Lötscher</t>
  </si>
  <si>
    <t>Bischoff</t>
  </si>
  <si>
    <t>Schär</t>
  </si>
  <si>
    <t>Marti-Schreier</t>
  </si>
  <si>
    <t>Mitte</t>
  </si>
  <si>
    <t>Bernard Abrecht</t>
  </si>
  <si>
    <t>Waadt / Bern</t>
  </si>
  <si>
    <t>Abrecht</t>
  </si>
  <si>
    <t>Florence Aubry Girardin</t>
  </si>
  <si>
    <t>Jura</t>
  </si>
  <si>
    <t>Grüne</t>
  </si>
  <si>
    <t>Aubry Girardin</t>
  </si>
  <si>
    <t>Michael Beusch</t>
  </si>
  <si>
    <t>Zürich / St. Gallen</t>
  </si>
  <si>
    <t>Beusch</t>
  </si>
  <si>
    <t>Susanne Bollinger</t>
  </si>
  <si>
    <t>Schaffhausen</t>
  </si>
  <si>
    <t>Bollinger</t>
  </si>
  <si>
    <t>Grégory Bovey</t>
  </si>
  <si>
    <t>Waadt</t>
  </si>
  <si>
    <t>Bovey</t>
  </si>
  <si>
    <t>François Chaix</t>
  </si>
  <si>
    <t>Genf</t>
  </si>
  <si>
    <t>Chaix</t>
  </si>
  <si>
    <t>Christian Denys</t>
  </si>
  <si>
    <t>Denys</t>
  </si>
  <si>
    <t>Federica De Rossa</t>
  </si>
  <si>
    <t>Tessin</t>
  </si>
  <si>
    <t>De Rossa</t>
  </si>
  <si>
    <t>Yves Donzallaz</t>
  </si>
  <si>
    <t>Freiburg</t>
  </si>
  <si>
    <t>parteilos (ex SVP)</t>
  </si>
  <si>
    <t>Donzallaz</t>
  </si>
  <si>
    <t>Ivo Eusebio</t>
  </si>
  <si>
    <t>CVP</t>
  </si>
  <si>
    <t>Eusebio</t>
  </si>
  <si>
    <t>Jean Fonjallaz</t>
  </si>
  <si>
    <t>Fonjallaz</t>
  </si>
  <si>
    <t>Jean-Maurice Frésard</t>
  </si>
  <si>
    <t>Frésard</t>
  </si>
  <si>
    <t>Lucrezia Glanzmann</t>
  </si>
  <si>
    <t>Graubünden</t>
  </si>
  <si>
    <t>Glanzmann</t>
  </si>
  <si>
    <t>David Glassey</t>
  </si>
  <si>
    <t>Wallis</t>
  </si>
  <si>
    <t>Die Mitte</t>
  </si>
  <si>
    <t>Glassey</t>
  </si>
  <si>
    <t>Patrick Guidon</t>
  </si>
  <si>
    <t>Guidon</t>
  </si>
  <si>
    <t>Stefan Haag</t>
  </si>
  <si>
    <t>Thurgau</t>
  </si>
  <si>
    <t>GLP</t>
  </si>
  <si>
    <t>Haag</t>
  </si>
  <si>
    <t>Julia Hänni</t>
  </si>
  <si>
    <t>Bern</t>
  </si>
  <si>
    <t>Stephan Hartmann</t>
  </si>
  <si>
    <t>Aargau</t>
  </si>
  <si>
    <t>Hartmann</t>
  </si>
  <si>
    <t>Alexia Heine</t>
  </si>
  <si>
    <t>Luzern / Zürich</t>
  </si>
  <si>
    <t>Heine</t>
  </si>
  <si>
    <t>Christian Herrmann</t>
  </si>
  <si>
    <t>Herrmann</t>
  </si>
  <si>
    <t>Fabienne Hohl</t>
  </si>
  <si>
    <t>Hohl</t>
  </si>
  <si>
    <t>Yann-Eric Hofmann</t>
  </si>
  <si>
    <t>Hofmann</t>
  </si>
  <si>
    <t>Christoph Hurni</t>
  </si>
  <si>
    <t>Hurni</t>
  </si>
  <si>
    <t>Laura Jacquemoud-Rossari</t>
  </si>
  <si>
    <t>Jacquemoud-Rossari</t>
  </si>
  <si>
    <t>Monique Jametti</t>
  </si>
  <si>
    <t>Tessin / Basel-Stadt</t>
  </si>
  <si>
    <t>Jametti</t>
  </si>
  <si>
    <t>Christian Josi</t>
  </si>
  <si>
    <t>Josi</t>
  </si>
  <si>
    <t>Peter Karlen</t>
  </si>
  <si>
    <t>Karlen</t>
  </si>
  <si>
    <t>Yves Kernen</t>
  </si>
  <si>
    <t>Kernen</t>
  </si>
  <si>
    <t>Christina Kiss</t>
  </si>
  <si>
    <t>Zürich</t>
  </si>
  <si>
    <t>Kiss</t>
  </si>
  <si>
    <t>Lorenz Kneubühler</t>
  </si>
  <si>
    <t>Kneubühler</t>
  </si>
  <si>
    <t>Sonja Koch</t>
  </si>
  <si>
    <t>Koch</t>
  </si>
  <si>
    <t>Christian Kölz</t>
  </si>
  <si>
    <t>Zürich / Basel-Stadt</t>
  </si>
  <si>
    <t>Kölz</t>
  </si>
  <si>
    <t>Matthias Kradolfer</t>
  </si>
  <si>
    <t>Kradolfer</t>
  </si>
  <si>
    <t>Marcel Maillard</t>
  </si>
  <si>
    <t>Maillard</t>
  </si>
  <si>
    <t>Luca Marazzi</t>
  </si>
  <si>
    <t>Marazzi</t>
  </si>
  <si>
    <t>Hans Mathys</t>
  </si>
  <si>
    <t>Mathys</t>
  </si>
  <si>
    <t>Marie-Chantal May Canellas</t>
  </si>
  <si>
    <t>May Canellas</t>
  </si>
  <si>
    <t>Laurent Merz</t>
  </si>
  <si>
    <t>Merz</t>
  </si>
  <si>
    <t>Jean Métral</t>
  </si>
  <si>
    <t>Métral</t>
  </si>
  <si>
    <t>Margit Moser-Szeless</t>
  </si>
  <si>
    <t>Genf / Luzern</t>
  </si>
  <si>
    <t>Moser-Szeless</t>
  </si>
  <si>
    <t>Thomas Müller</t>
  </si>
  <si>
    <t>Müller</t>
  </si>
  <si>
    <t>Giuseppe Muschietti</t>
  </si>
  <si>
    <t>Muschietti</t>
  </si>
  <si>
    <t>Martha Niquille</t>
  </si>
  <si>
    <t>St. Gallen / Freiburg</t>
  </si>
  <si>
    <t>Niquille</t>
  </si>
  <si>
    <t>Niklaus Oberholzer</t>
  </si>
  <si>
    <t>St. Gallen</t>
  </si>
  <si>
    <t>Oberholzer</t>
  </si>
  <si>
    <t>Francesco Parrino</t>
  </si>
  <si>
    <t>Parrino</t>
  </si>
  <si>
    <t>Brigitte Pfiffner</t>
  </si>
  <si>
    <t>Pfiffner</t>
  </si>
  <si>
    <t>Yves Rüedi</t>
  </si>
  <si>
    <t>Glarus / Thurgau</t>
  </si>
  <si>
    <t>Rüedi</t>
  </si>
  <si>
    <t>Marianne Ryter</t>
  </si>
  <si>
    <t>Ryter</t>
  </si>
  <si>
    <t>Karin Scherrer Reber</t>
  </si>
  <si>
    <t>Basel-Landschaft</t>
  </si>
  <si>
    <t>Scherrer Reber</t>
  </si>
  <si>
    <t>Felix Schöbi</t>
  </si>
  <si>
    <t>BDP</t>
  </si>
  <si>
    <t>Schöbi</t>
  </si>
  <si>
    <t>Thomas Stadelmann</t>
  </si>
  <si>
    <t>Luzern</t>
  </si>
  <si>
    <t>Stadelmann</t>
  </si>
  <si>
    <t>Rudolf Ursprung</t>
  </si>
  <si>
    <t>Ursprung</t>
  </si>
  <si>
    <t>Beatrice van de Graaf</t>
  </si>
  <si>
    <t>Schwyz</t>
  </si>
  <si>
    <t>van de Graaf</t>
  </si>
  <si>
    <t>Daniela Viscione</t>
  </si>
  <si>
    <t>Thurgau / Zürich</t>
  </si>
  <si>
    <t>Viscione</t>
  </si>
  <si>
    <t>Rolf von Felten</t>
  </si>
  <si>
    <t>Solothurn</t>
  </si>
  <si>
    <t>von Felten</t>
  </si>
  <si>
    <t>Nicolas von Werdt</t>
  </si>
  <si>
    <t>von Werdt</t>
  </si>
  <si>
    <t>Martin Wirthlin</t>
  </si>
  <si>
    <t>Wirthlin</t>
  </si>
  <si>
    <t>Sandra Wohlhauser</t>
  </si>
  <si>
    <t>Wohlhauser</t>
  </si>
  <si>
    <t>Andreas Zünd</t>
  </si>
  <si>
    <t>Zünd</t>
  </si>
  <si>
    <t>party</t>
  </si>
  <si>
    <t>Arthur Brunner</t>
  </si>
  <si>
    <t>Brunner</t>
  </si>
  <si>
    <t>D. Hänni</t>
  </si>
  <si>
    <t>Marie-Claire Pont Veuthey</t>
  </si>
  <si>
    <t>Pont Veuthey</t>
  </si>
  <si>
    <t>Martenet</t>
  </si>
  <si>
    <t>Beata Maria Wasser-Keller</t>
  </si>
  <si>
    <t>Jeremias Fellmann</t>
  </si>
  <si>
    <t>Fellmann</t>
  </si>
  <si>
    <t>Wasser-Keller</t>
  </si>
  <si>
    <t>election</t>
  </si>
  <si>
    <t>birth</t>
  </si>
  <si>
    <t>party_raw</t>
  </si>
  <si>
    <t>both_names</t>
  </si>
  <si>
    <t>name</t>
  </si>
  <si>
    <t>kanton(district)</t>
  </si>
  <si>
    <t>retired</t>
  </si>
  <si>
    <t>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</si>
</sst>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selection activeCell="K4" sqref="K4"/>
    </sheetView>
  </sheetViews>
  <sheetFormatPr baseColWidth="10" defaultColWidth="8.90625" defaultRowHeight="14.5" x14ac:dyDescent="0.35"/>
  <cols>
    <col min="1" max="1" width="29.81640625" customWidth="1"/>
    <col min="5" max="5" width="16.54296875" customWidth="1"/>
    <col min="6" max="6" width="16.26953125" customWidth="1"/>
    <col min="7" max="7" width="9.36328125" customWidth="1"/>
    <col min="8" max="8" width="27" customWidth="1"/>
  </cols>
  <sheetData>
    <row r="1" spans="1:9" x14ac:dyDescent="0.35">
      <c r="A1" t="s">
        <v>202</v>
      </c>
      <c r="B1" t="s">
        <v>199</v>
      </c>
      <c r="C1" s="1" t="s">
        <v>205</v>
      </c>
      <c r="D1" t="s">
        <v>200</v>
      </c>
      <c r="E1" t="s">
        <v>206</v>
      </c>
      <c r="F1" t="s">
        <v>204</v>
      </c>
      <c r="G1" t="s">
        <v>201</v>
      </c>
      <c r="H1" t="s">
        <v>203</v>
      </c>
      <c r="I1" t="s">
        <v>188</v>
      </c>
    </row>
    <row r="2" spans="1:9" x14ac:dyDescent="0.35">
      <c r="A2" t="s">
        <v>189</v>
      </c>
      <c r="B2">
        <v>2026</v>
      </c>
      <c r="G2" t="s">
        <v>1</v>
      </c>
      <c r="H2" t="s">
        <v>190</v>
      </c>
      <c r="I2" t="str">
        <f>IF(OR(G2="CVP",27="Die Mitte"),"Mitte",G2)</f>
        <v>SVP</v>
      </c>
    </row>
    <row r="3" spans="1:9" x14ac:dyDescent="0.35">
      <c r="A3" t="s">
        <v>39</v>
      </c>
      <c r="B3">
        <v>2019</v>
      </c>
      <c r="D3">
        <v>1966</v>
      </c>
      <c r="F3" t="s">
        <v>40</v>
      </c>
      <c r="G3" t="s">
        <v>0</v>
      </c>
      <c r="H3" t="s">
        <v>41</v>
      </c>
      <c r="I3" t="str">
        <f>IF(OR(G3="CVP",27="Die Mitte"),"Mitte",G3)</f>
        <v>SP</v>
      </c>
    </row>
    <row r="4" spans="1:9" x14ac:dyDescent="0.35">
      <c r="A4" t="s">
        <v>42</v>
      </c>
      <c r="B4">
        <v>2007</v>
      </c>
      <c r="D4">
        <v>1964</v>
      </c>
      <c r="F4" t="s">
        <v>43</v>
      </c>
      <c r="G4" t="s">
        <v>44</v>
      </c>
      <c r="H4" t="s">
        <v>45</v>
      </c>
      <c r="I4" t="str">
        <f t="shared" ref="I4:I27" si="0">IF(OR(G4="CVP",27="Die Mitte"),"Mitte",G4)</f>
        <v>Grüne</v>
      </c>
    </row>
    <row r="5" spans="1:9" x14ac:dyDescent="0.35">
      <c r="A5" t="s">
        <v>46</v>
      </c>
      <c r="B5">
        <v>2019</v>
      </c>
      <c r="D5">
        <v>1969</v>
      </c>
      <c r="F5" t="s">
        <v>47</v>
      </c>
      <c r="G5" t="s">
        <v>0</v>
      </c>
      <c r="H5" t="s">
        <v>48</v>
      </c>
      <c r="I5" t="str">
        <f t="shared" si="0"/>
        <v>SP</v>
      </c>
    </row>
    <row r="6" spans="1:9" x14ac:dyDescent="0.35">
      <c r="A6" t="s">
        <v>49</v>
      </c>
      <c r="B6">
        <v>2024</v>
      </c>
      <c r="D6">
        <v>1974</v>
      </c>
      <c r="F6" t="s">
        <v>50</v>
      </c>
      <c r="G6" t="s">
        <v>1</v>
      </c>
      <c r="H6" t="s">
        <v>51</v>
      </c>
      <c r="I6" t="str">
        <f t="shared" si="0"/>
        <v>SVP</v>
      </c>
    </row>
    <row r="7" spans="1:9" x14ac:dyDescent="0.35">
      <c r="A7" t="s">
        <v>52</v>
      </c>
      <c r="B7">
        <v>2014</v>
      </c>
      <c r="D7">
        <v>1973</v>
      </c>
      <c r="F7" t="s">
        <v>53</v>
      </c>
      <c r="G7" t="s">
        <v>2</v>
      </c>
      <c r="H7" t="s">
        <v>54</v>
      </c>
      <c r="I7" t="str">
        <f t="shared" si="0"/>
        <v>FDP</v>
      </c>
    </row>
    <row r="8" spans="1:9" x14ac:dyDescent="0.35">
      <c r="A8" t="s">
        <v>55</v>
      </c>
      <c r="B8">
        <v>2011</v>
      </c>
      <c r="D8">
        <v>1964</v>
      </c>
      <c r="F8" t="s">
        <v>56</v>
      </c>
      <c r="G8" t="s">
        <v>2</v>
      </c>
      <c r="H8" t="s">
        <v>57</v>
      </c>
      <c r="I8" t="str">
        <f t="shared" si="0"/>
        <v>FDP</v>
      </c>
    </row>
    <row r="9" spans="1:9" x14ac:dyDescent="0.35">
      <c r="A9" t="s">
        <v>58</v>
      </c>
      <c r="B9">
        <v>2011</v>
      </c>
      <c r="D9">
        <v>1967</v>
      </c>
      <c r="F9" t="s">
        <v>53</v>
      </c>
      <c r="G9" t="s">
        <v>44</v>
      </c>
      <c r="H9" t="s">
        <v>59</v>
      </c>
      <c r="I9" t="str">
        <f t="shared" si="0"/>
        <v>Grüne</v>
      </c>
    </row>
    <row r="10" spans="1:9" x14ac:dyDescent="0.35">
      <c r="A10" t="s">
        <v>60</v>
      </c>
      <c r="B10">
        <v>2022</v>
      </c>
      <c r="D10">
        <v>1974</v>
      </c>
      <c r="F10" t="s">
        <v>61</v>
      </c>
      <c r="G10" t="s">
        <v>0</v>
      </c>
      <c r="H10" t="s">
        <v>62</v>
      </c>
      <c r="I10" t="str">
        <f t="shared" si="0"/>
        <v>SP</v>
      </c>
    </row>
    <row r="11" spans="1:9" x14ac:dyDescent="0.35">
      <c r="A11" t="s">
        <v>63</v>
      </c>
      <c r="B11">
        <v>2008</v>
      </c>
      <c r="D11">
        <v>1961</v>
      </c>
      <c r="F11" t="s">
        <v>64</v>
      </c>
      <c r="G11" t="s">
        <v>65</v>
      </c>
      <c r="H11" t="s">
        <v>66</v>
      </c>
      <c r="I11" t="str">
        <f t="shared" si="0"/>
        <v>parteilos (ex SVP)</v>
      </c>
    </row>
    <row r="12" spans="1:9" x14ac:dyDescent="0.35">
      <c r="A12" t="s">
        <v>67</v>
      </c>
      <c r="B12">
        <v>2004</v>
      </c>
      <c r="C12">
        <v>2018</v>
      </c>
      <c r="D12">
        <v>1950</v>
      </c>
      <c r="F12" t="s">
        <v>61</v>
      </c>
      <c r="G12" t="s">
        <v>68</v>
      </c>
      <c r="H12" t="s">
        <v>69</v>
      </c>
      <c r="I12" t="str">
        <f t="shared" si="0"/>
        <v>Mitte</v>
      </c>
    </row>
    <row r="13" spans="1:9" x14ac:dyDescent="0.35">
      <c r="A13" t="s">
        <v>70</v>
      </c>
      <c r="B13">
        <v>2002</v>
      </c>
      <c r="C13">
        <v>2020</v>
      </c>
      <c r="D13">
        <v>1957</v>
      </c>
      <c r="F13" t="s">
        <v>53</v>
      </c>
      <c r="G13" t="s">
        <v>0</v>
      </c>
      <c r="H13" t="s">
        <v>71</v>
      </c>
      <c r="I13" t="str">
        <f t="shared" si="0"/>
        <v>SP</v>
      </c>
    </row>
    <row r="14" spans="1:9" x14ac:dyDescent="0.35">
      <c r="A14" t="s">
        <v>72</v>
      </c>
      <c r="B14">
        <v>2002</v>
      </c>
      <c r="C14">
        <v>2019</v>
      </c>
      <c r="D14">
        <v>1953</v>
      </c>
      <c r="F14" t="s">
        <v>43</v>
      </c>
      <c r="G14" t="s">
        <v>0</v>
      </c>
      <c r="H14" t="s">
        <v>73</v>
      </c>
      <c r="I14" t="str">
        <f t="shared" si="0"/>
        <v>SP</v>
      </c>
    </row>
    <row r="15" spans="1:9" x14ac:dyDescent="0.35">
      <c r="A15" t="s">
        <v>74</v>
      </c>
      <c r="B15">
        <v>2011</v>
      </c>
      <c r="C15">
        <v>2022</v>
      </c>
      <c r="D15">
        <v>1965</v>
      </c>
      <c r="E15">
        <v>2022</v>
      </c>
      <c r="F15" t="s">
        <v>75</v>
      </c>
      <c r="G15" t="s">
        <v>2</v>
      </c>
      <c r="H15" t="s">
        <v>76</v>
      </c>
      <c r="I15" t="str">
        <f t="shared" si="0"/>
        <v>FDP</v>
      </c>
    </row>
    <row r="16" spans="1:9" x14ac:dyDescent="0.35">
      <c r="A16" t="s">
        <v>77</v>
      </c>
      <c r="B16">
        <v>2025</v>
      </c>
      <c r="D16">
        <v>1977</v>
      </c>
      <c r="F16" t="s">
        <v>78</v>
      </c>
      <c r="G16" t="s">
        <v>79</v>
      </c>
      <c r="H16" t="s">
        <v>80</v>
      </c>
      <c r="I16" t="str">
        <f t="shared" si="0"/>
        <v>Die Mitte</v>
      </c>
    </row>
    <row r="17" spans="1:9" x14ac:dyDescent="0.35">
      <c r="A17" t="s">
        <v>81</v>
      </c>
      <c r="B17">
        <v>2024</v>
      </c>
      <c r="D17">
        <v>1976</v>
      </c>
      <c r="F17" t="s">
        <v>75</v>
      </c>
      <c r="G17" t="s">
        <v>1</v>
      </c>
      <c r="H17" t="s">
        <v>82</v>
      </c>
      <c r="I17" t="str">
        <f t="shared" si="0"/>
        <v>SVP</v>
      </c>
    </row>
    <row r="18" spans="1:9" x14ac:dyDescent="0.35">
      <c r="A18" t="s">
        <v>83</v>
      </c>
      <c r="B18">
        <v>2014</v>
      </c>
      <c r="D18">
        <v>1960</v>
      </c>
      <c r="F18" t="s">
        <v>84</v>
      </c>
      <c r="G18" t="s">
        <v>85</v>
      </c>
      <c r="H18" t="s">
        <v>86</v>
      </c>
      <c r="I18" t="str">
        <f t="shared" si="0"/>
        <v>GLP</v>
      </c>
    </row>
    <row r="19" spans="1:9" x14ac:dyDescent="0.35">
      <c r="A19" t="s">
        <v>87</v>
      </c>
      <c r="B19">
        <v>2019</v>
      </c>
      <c r="D19">
        <v>1977</v>
      </c>
      <c r="F19" t="s">
        <v>88</v>
      </c>
      <c r="G19" t="s">
        <v>79</v>
      </c>
      <c r="H19" t="s">
        <v>3</v>
      </c>
      <c r="I19" t="str">
        <f t="shared" si="0"/>
        <v>Die Mitte</v>
      </c>
    </row>
    <row r="20" spans="1:9" x14ac:dyDescent="0.35">
      <c r="A20" t="s">
        <v>89</v>
      </c>
      <c r="B20">
        <v>2021</v>
      </c>
      <c r="D20">
        <v>1972</v>
      </c>
      <c r="F20" t="s">
        <v>90</v>
      </c>
      <c r="G20" t="s">
        <v>44</v>
      </c>
      <c r="H20" t="s">
        <v>91</v>
      </c>
      <c r="I20" t="str">
        <f t="shared" si="0"/>
        <v>Grüne</v>
      </c>
    </row>
    <row r="21" spans="1:9" x14ac:dyDescent="0.35">
      <c r="A21" t="s">
        <v>92</v>
      </c>
      <c r="B21">
        <v>2012</v>
      </c>
      <c r="D21">
        <v>1969</v>
      </c>
      <c r="F21" t="s">
        <v>93</v>
      </c>
      <c r="G21" t="s">
        <v>1</v>
      </c>
      <c r="H21" t="s">
        <v>94</v>
      </c>
      <c r="I21" t="str">
        <f t="shared" si="0"/>
        <v>SVP</v>
      </c>
    </row>
    <row r="22" spans="1:9" x14ac:dyDescent="0.35">
      <c r="A22" t="s">
        <v>95</v>
      </c>
      <c r="B22">
        <v>2009</v>
      </c>
      <c r="D22">
        <v>1961</v>
      </c>
      <c r="F22" t="s">
        <v>88</v>
      </c>
      <c r="G22" t="s">
        <v>1</v>
      </c>
      <c r="H22" t="s">
        <v>96</v>
      </c>
      <c r="I22" t="str">
        <f t="shared" si="0"/>
        <v>SVP</v>
      </c>
    </row>
    <row r="23" spans="1:9" x14ac:dyDescent="0.35">
      <c r="A23" t="s">
        <v>97</v>
      </c>
      <c r="B23">
        <v>2002</v>
      </c>
      <c r="C23">
        <v>2024</v>
      </c>
      <c r="D23">
        <v>1956</v>
      </c>
      <c r="F23" t="s">
        <v>84</v>
      </c>
      <c r="G23" t="s">
        <v>2</v>
      </c>
      <c r="H23" t="s">
        <v>98</v>
      </c>
      <c r="I23" t="str">
        <f t="shared" si="0"/>
        <v>FDP</v>
      </c>
    </row>
    <row r="24" spans="1:9" x14ac:dyDescent="0.35">
      <c r="A24" t="s">
        <v>99</v>
      </c>
      <c r="B24">
        <v>2023</v>
      </c>
      <c r="D24">
        <v>1978</v>
      </c>
      <c r="F24" t="s">
        <v>88</v>
      </c>
      <c r="G24" t="s">
        <v>79</v>
      </c>
      <c r="H24" t="s">
        <v>100</v>
      </c>
      <c r="I24" t="str">
        <f t="shared" si="0"/>
        <v>Die Mitte</v>
      </c>
    </row>
    <row r="25" spans="1:9" x14ac:dyDescent="0.35">
      <c r="A25" t="s">
        <v>101</v>
      </c>
      <c r="B25">
        <v>2020</v>
      </c>
      <c r="D25">
        <v>1979</v>
      </c>
      <c r="F25" t="s">
        <v>88</v>
      </c>
      <c r="G25" t="s">
        <v>85</v>
      </c>
      <c r="H25" t="s">
        <v>102</v>
      </c>
      <c r="I25" t="str">
        <f t="shared" si="0"/>
        <v>GLP</v>
      </c>
    </row>
    <row r="26" spans="1:9" x14ac:dyDescent="0.35">
      <c r="A26" t="s">
        <v>103</v>
      </c>
      <c r="B26">
        <v>2007</v>
      </c>
      <c r="D26">
        <v>1957</v>
      </c>
      <c r="F26" t="s">
        <v>56</v>
      </c>
      <c r="G26" t="s">
        <v>79</v>
      </c>
      <c r="H26" t="s">
        <v>104</v>
      </c>
      <c r="I26" t="str">
        <f t="shared" si="0"/>
        <v>Die Mitte</v>
      </c>
    </row>
    <row r="27" spans="1:9" x14ac:dyDescent="0.35">
      <c r="A27" t="s">
        <v>105</v>
      </c>
      <c r="B27">
        <v>2015</v>
      </c>
      <c r="C27">
        <v>2024</v>
      </c>
      <c r="D27">
        <v>1956</v>
      </c>
      <c r="F27" t="s">
        <v>106</v>
      </c>
      <c r="G27" t="s">
        <v>1</v>
      </c>
      <c r="H27" t="s">
        <v>107</v>
      </c>
      <c r="I27" t="str">
        <f t="shared" si="0"/>
        <v>SVP</v>
      </c>
    </row>
    <row r="28" spans="1:9" x14ac:dyDescent="0.35">
      <c r="A28" t="s">
        <v>108</v>
      </c>
      <c r="B28">
        <v>2024</v>
      </c>
      <c r="D28">
        <v>1973</v>
      </c>
      <c r="F28" t="s">
        <v>88</v>
      </c>
      <c r="G28" t="s">
        <v>1</v>
      </c>
      <c r="H28" t="s">
        <v>109</v>
      </c>
      <c r="I28" t="str">
        <f>IF(OR(G28="CVP",27="Die Mitte"),"Mitte",G28)</f>
        <v>SVP</v>
      </c>
    </row>
    <row r="29" spans="1:9" x14ac:dyDescent="0.35">
      <c r="A29" t="s">
        <v>110</v>
      </c>
      <c r="B29">
        <v>2001</v>
      </c>
      <c r="C29">
        <v>2019</v>
      </c>
      <c r="D29">
        <v>1958</v>
      </c>
      <c r="F29" t="s">
        <v>88</v>
      </c>
      <c r="G29" t="s">
        <v>1</v>
      </c>
      <c r="H29" t="s">
        <v>111</v>
      </c>
      <c r="I29" t="str">
        <f>IF(OR(G28="CVP",G28="Die Mitte"),"Mitte",G29)</f>
        <v>SVP</v>
      </c>
    </row>
    <row r="30" spans="1:9" x14ac:dyDescent="0.35">
      <c r="A30" t="s">
        <v>112</v>
      </c>
      <c r="B30">
        <v>2001</v>
      </c>
      <c r="C30">
        <v>2014</v>
      </c>
      <c r="D30">
        <v>1955</v>
      </c>
      <c r="F30" t="s">
        <v>56</v>
      </c>
      <c r="G30" t="s">
        <v>1</v>
      </c>
      <c r="H30" t="s">
        <v>113</v>
      </c>
      <c r="I30" t="str">
        <f t="shared" ref="I30:I61" si="1">IF(OR(G29="CVP",G29="Die Mitte"),"Mitte",G30)</f>
        <v>SVP</v>
      </c>
    </row>
    <row r="31" spans="1:9" x14ac:dyDescent="0.35">
      <c r="A31" t="s">
        <v>114</v>
      </c>
      <c r="B31">
        <v>2003</v>
      </c>
      <c r="D31">
        <v>1960</v>
      </c>
      <c r="F31" t="s">
        <v>115</v>
      </c>
      <c r="G31" t="s">
        <v>2</v>
      </c>
      <c r="H31" t="s">
        <v>116</v>
      </c>
      <c r="I31" t="str">
        <f t="shared" si="1"/>
        <v>FDP</v>
      </c>
    </row>
    <row r="32" spans="1:9" x14ac:dyDescent="0.35">
      <c r="A32" t="s">
        <v>117</v>
      </c>
      <c r="B32">
        <v>2012</v>
      </c>
      <c r="D32">
        <v>1965</v>
      </c>
      <c r="F32" t="s">
        <v>88</v>
      </c>
      <c r="G32" t="s">
        <v>0</v>
      </c>
      <c r="H32" t="s">
        <v>118</v>
      </c>
      <c r="I32" t="str">
        <f t="shared" si="1"/>
        <v>SP</v>
      </c>
    </row>
    <row r="33" spans="1:9" x14ac:dyDescent="0.35">
      <c r="A33" t="s">
        <v>119</v>
      </c>
      <c r="B33">
        <v>2019</v>
      </c>
      <c r="D33">
        <v>1976</v>
      </c>
      <c r="F33" t="s">
        <v>90</v>
      </c>
      <c r="G33" t="s">
        <v>1</v>
      </c>
      <c r="H33" t="s">
        <v>120</v>
      </c>
      <c r="I33" t="str">
        <f>IF(OR(G33="CVP",G32="Die Mitte"),"Mitte",G32)</f>
        <v>SP</v>
      </c>
    </row>
    <row r="34" spans="1:9" x14ac:dyDescent="0.35">
      <c r="A34" t="s">
        <v>121</v>
      </c>
      <c r="B34">
        <v>2022</v>
      </c>
      <c r="D34">
        <v>1980</v>
      </c>
      <c r="F34" t="s">
        <v>122</v>
      </c>
      <c r="G34" t="s">
        <v>44</v>
      </c>
      <c r="H34" t="s">
        <v>123</v>
      </c>
      <c r="I34" t="str">
        <f t="shared" si="1"/>
        <v>Grüne</v>
      </c>
    </row>
    <row r="35" spans="1:9" x14ac:dyDescent="0.35">
      <c r="A35" t="s">
        <v>124</v>
      </c>
      <c r="B35">
        <v>2023</v>
      </c>
      <c r="D35">
        <v>1985</v>
      </c>
      <c r="F35" t="s">
        <v>84</v>
      </c>
      <c r="G35" t="s">
        <v>2</v>
      </c>
      <c r="H35" t="s">
        <v>125</v>
      </c>
      <c r="I35" t="str">
        <f t="shared" si="1"/>
        <v>FDP</v>
      </c>
    </row>
    <row r="36" spans="1:9" x14ac:dyDescent="0.35">
      <c r="A36" t="s">
        <v>126</v>
      </c>
      <c r="B36">
        <v>2008</v>
      </c>
      <c r="D36">
        <v>1959</v>
      </c>
      <c r="F36" t="s">
        <v>64</v>
      </c>
      <c r="G36" t="s">
        <v>79</v>
      </c>
      <c r="H36" t="s">
        <v>127</v>
      </c>
      <c r="I36" t="str">
        <f t="shared" si="1"/>
        <v>Die Mitte</v>
      </c>
    </row>
    <row r="37" spans="1:9" x14ac:dyDescent="0.35">
      <c r="A37" t="s">
        <v>128</v>
      </c>
      <c r="B37">
        <v>2002</v>
      </c>
      <c r="C37">
        <v>2022</v>
      </c>
      <c r="D37">
        <v>1955</v>
      </c>
      <c r="F37" t="s">
        <v>61</v>
      </c>
      <c r="G37" t="s">
        <v>2</v>
      </c>
      <c r="H37" t="s">
        <v>129</v>
      </c>
      <c r="I37" t="str">
        <f t="shared" si="1"/>
        <v>Mitte</v>
      </c>
    </row>
    <row r="38" spans="1:9" x14ac:dyDescent="0.35">
      <c r="A38" t="s">
        <v>130</v>
      </c>
      <c r="B38">
        <v>2006</v>
      </c>
      <c r="C38">
        <v>2014</v>
      </c>
      <c r="D38">
        <v>1946</v>
      </c>
      <c r="F38" t="s">
        <v>84</v>
      </c>
      <c r="G38" t="s">
        <v>1</v>
      </c>
      <c r="H38" t="s">
        <v>131</v>
      </c>
      <c r="I38" t="str">
        <f t="shared" si="1"/>
        <v>SVP</v>
      </c>
    </row>
    <row r="39" spans="1:9" x14ac:dyDescent="0.35">
      <c r="A39" t="s">
        <v>132</v>
      </c>
      <c r="B39">
        <v>2016</v>
      </c>
      <c r="D39">
        <v>1973</v>
      </c>
      <c r="F39" t="s">
        <v>78</v>
      </c>
      <c r="G39" t="s">
        <v>79</v>
      </c>
      <c r="H39" t="s">
        <v>133</v>
      </c>
      <c r="I39" t="str">
        <f t="shared" si="1"/>
        <v>Die Mitte</v>
      </c>
    </row>
    <row r="40" spans="1:9" x14ac:dyDescent="0.35">
      <c r="A40" t="s">
        <v>134</v>
      </c>
      <c r="B40">
        <v>2020</v>
      </c>
      <c r="D40">
        <v>1964</v>
      </c>
      <c r="F40" t="s">
        <v>53</v>
      </c>
      <c r="G40" t="s">
        <v>44</v>
      </c>
      <c r="H40" t="s">
        <v>135</v>
      </c>
      <c r="I40" t="str">
        <f t="shared" si="1"/>
        <v>Mitte</v>
      </c>
    </row>
    <row r="41" spans="1:9" x14ac:dyDescent="0.35">
      <c r="A41" t="s">
        <v>136</v>
      </c>
      <c r="B41">
        <v>2023</v>
      </c>
      <c r="D41">
        <v>1973</v>
      </c>
      <c r="F41" t="s">
        <v>78</v>
      </c>
      <c r="G41" t="s">
        <v>44</v>
      </c>
      <c r="H41" t="s">
        <v>137</v>
      </c>
      <c r="I41" t="str">
        <f t="shared" si="1"/>
        <v>Grüne</v>
      </c>
    </row>
    <row r="42" spans="1:9" x14ac:dyDescent="0.35">
      <c r="A42" t="s">
        <v>138</v>
      </c>
      <c r="B42">
        <v>2014</v>
      </c>
      <c r="D42">
        <v>1971</v>
      </c>
      <c r="F42" t="s">
        <v>139</v>
      </c>
      <c r="G42" t="s">
        <v>1</v>
      </c>
      <c r="H42" t="s">
        <v>140</v>
      </c>
      <c r="I42" t="str">
        <f t="shared" si="1"/>
        <v>SVP</v>
      </c>
    </row>
    <row r="43" spans="1:9" x14ac:dyDescent="0.35">
      <c r="A43" t="s">
        <v>141</v>
      </c>
      <c r="B43">
        <v>2019</v>
      </c>
      <c r="D43">
        <v>1964</v>
      </c>
      <c r="F43" t="s">
        <v>88</v>
      </c>
      <c r="G43" t="s">
        <v>1</v>
      </c>
      <c r="H43" t="s">
        <v>142</v>
      </c>
      <c r="I43" t="str">
        <f t="shared" si="1"/>
        <v>SVP</v>
      </c>
    </row>
    <row r="44" spans="1:9" x14ac:dyDescent="0.35">
      <c r="A44" t="s">
        <v>143</v>
      </c>
      <c r="B44">
        <v>2018</v>
      </c>
      <c r="D44">
        <v>1964</v>
      </c>
      <c r="F44" t="s">
        <v>61</v>
      </c>
      <c r="G44" t="s">
        <v>2</v>
      </c>
      <c r="H44" t="s">
        <v>144</v>
      </c>
      <c r="I44" t="str">
        <f t="shared" si="1"/>
        <v>FDP</v>
      </c>
    </row>
    <row r="45" spans="1:9" x14ac:dyDescent="0.35">
      <c r="A45" t="s">
        <v>145</v>
      </c>
      <c r="B45">
        <v>2009</v>
      </c>
      <c r="C45">
        <v>2022</v>
      </c>
      <c r="D45">
        <v>1954</v>
      </c>
      <c r="F45" t="s">
        <v>146</v>
      </c>
      <c r="G45" t="s">
        <v>68</v>
      </c>
      <c r="H45" t="s">
        <v>147</v>
      </c>
      <c r="I45" t="str">
        <f t="shared" si="1"/>
        <v>CVP</v>
      </c>
    </row>
    <row r="46" spans="1:9" x14ac:dyDescent="0.35">
      <c r="A46" t="s">
        <v>148</v>
      </c>
      <c r="B46">
        <v>2013</v>
      </c>
      <c r="C46">
        <v>2019</v>
      </c>
      <c r="D46">
        <v>1953</v>
      </c>
      <c r="F46" t="s">
        <v>149</v>
      </c>
      <c r="G46" t="s">
        <v>0</v>
      </c>
      <c r="H46" t="s">
        <v>150</v>
      </c>
      <c r="I46" t="str">
        <f t="shared" si="1"/>
        <v>Mitte</v>
      </c>
    </row>
    <row r="47" spans="1:9" x14ac:dyDescent="0.35">
      <c r="A47" t="s">
        <v>151</v>
      </c>
      <c r="B47">
        <v>2013</v>
      </c>
      <c r="D47">
        <v>1967</v>
      </c>
      <c r="F47" t="s">
        <v>61</v>
      </c>
      <c r="G47" t="s">
        <v>0</v>
      </c>
      <c r="H47" t="s">
        <v>152</v>
      </c>
      <c r="I47" t="str">
        <f t="shared" si="1"/>
        <v>SP</v>
      </c>
    </row>
    <row r="48" spans="1:9" x14ac:dyDescent="0.35">
      <c r="A48" t="s">
        <v>153</v>
      </c>
      <c r="B48">
        <v>2009</v>
      </c>
      <c r="C48">
        <v>2019</v>
      </c>
      <c r="D48">
        <v>1951</v>
      </c>
      <c r="F48" t="s">
        <v>115</v>
      </c>
      <c r="G48" t="s">
        <v>44</v>
      </c>
      <c r="H48" t="s">
        <v>154</v>
      </c>
      <c r="I48" t="str">
        <f t="shared" si="1"/>
        <v>Grüne</v>
      </c>
    </row>
    <row r="49" spans="1:9" x14ac:dyDescent="0.35">
      <c r="A49" t="s">
        <v>155</v>
      </c>
      <c r="B49">
        <v>2013</v>
      </c>
      <c r="D49">
        <v>1976</v>
      </c>
      <c r="F49" t="s">
        <v>156</v>
      </c>
      <c r="G49" t="s">
        <v>1</v>
      </c>
      <c r="H49" t="s">
        <v>157</v>
      </c>
      <c r="I49" t="str">
        <f t="shared" si="1"/>
        <v>SVP</v>
      </c>
    </row>
    <row r="50" spans="1:9" x14ac:dyDescent="0.35">
      <c r="A50" t="s">
        <v>158</v>
      </c>
      <c r="B50">
        <v>2021</v>
      </c>
      <c r="D50">
        <v>1968</v>
      </c>
      <c r="F50" t="s">
        <v>88</v>
      </c>
      <c r="G50" t="s">
        <v>0</v>
      </c>
      <c r="H50" t="s">
        <v>159</v>
      </c>
      <c r="I50" t="str">
        <f t="shared" si="1"/>
        <v>SP</v>
      </c>
    </row>
    <row r="51" spans="1:9" x14ac:dyDescent="0.35">
      <c r="A51" t="s">
        <v>160</v>
      </c>
      <c r="B51">
        <v>2022</v>
      </c>
      <c r="D51">
        <v>1970</v>
      </c>
      <c r="F51" t="s">
        <v>161</v>
      </c>
      <c r="G51" t="s">
        <v>2</v>
      </c>
      <c r="H51" t="s">
        <v>162</v>
      </c>
      <c r="I51" t="str">
        <f t="shared" si="1"/>
        <v>FDP</v>
      </c>
    </row>
    <row r="52" spans="1:9" x14ac:dyDescent="0.35">
      <c r="A52" t="s">
        <v>163</v>
      </c>
      <c r="B52">
        <v>2012</v>
      </c>
      <c r="C52">
        <v>2023</v>
      </c>
      <c r="D52">
        <v>1958</v>
      </c>
      <c r="F52" t="s">
        <v>149</v>
      </c>
      <c r="G52" t="s">
        <v>164</v>
      </c>
      <c r="H52" t="s">
        <v>165</v>
      </c>
      <c r="I52" t="str">
        <f t="shared" si="1"/>
        <v>BDP</v>
      </c>
    </row>
    <row r="53" spans="1:9" x14ac:dyDescent="0.35">
      <c r="A53" t="s">
        <v>166</v>
      </c>
      <c r="B53">
        <v>2009</v>
      </c>
      <c r="D53">
        <v>1958</v>
      </c>
      <c r="F53" t="s">
        <v>167</v>
      </c>
      <c r="G53" t="s">
        <v>79</v>
      </c>
      <c r="H53" t="s">
        <v>168</v>
      </c>
      <c r="I53" t="str">
        <f t="shared" si="1"/>
        <v>Die Mitte</v>
      </c>
    </row>
    <row r="54" spans="1:9" x14ac:dyDescent="0.35">
      <c r="A54" t="s">
        <v>169</v>
      </c>
      <c r="B54">
        <v>2001</v>
      </c>
      <c r="C54">
        <v>2016</v>
      </c>
      <c r="D54">
        <v>1953</v>
      </c>
      <c r="F54" t="s">
        <v>90</v>
      </c>
      <c r="G54" t="s">
        <v>1</v>
      </c>
      <c r="H54" t="s">
        <v>170</v>
      </c>
      <c r="I54" t="str">
        <f t="shared" si="1"/>
        <v>Mitte</v>
      </c>
    </row>
    <row r="55" spans="1:9" x14ac:dyDescent="0.35">
      <c r="A55" t="s">
        <v>171</v>
      </c>
      <c r="B55">
        <v>2019</v>
      </c>
      <c r="D55">
        <v>1971</v>
      </c>
      <c r="F55" t="s">
        <v>172</v>
      </c>
      <c r="G55" t="s">
        <v>1</v>
      </c>
      <c r="H55" t="s">
        <v>173</v>
      </c>
      <c r="I55" t="str">
        <f t="shared" si="1"/>
        <v>SVP</v>
      </c>
    </row>
    <row r="56" spans="1:9" x14ac:dyDescent="0.35">
      <c r="A56" t="s">
        <v>174</v>
      </c>
      <c r="B56">
        <v>2016</v>
      </c>
      <c r="D56">
        <v>1963</v>
      </c>
      <c r="F56" t="s">
        <v>175</v>
      </c>
      <c r="G56" t="s">
        <v>1</v>
      </c>
      <c r="H56" t="s">
        <v>176</v>
      </c>
      <c r="I56" t="str">
        <f t="shared" si="1"/>
        <v>SVP</v>
      </c>
    </row>
    <row r="57" spans="1:9" x14ac:dyDescent="0.35">
      <c r="A57" t="s">
        <v>177</v>
      </c>
      <c r="B57">
        <v>2023</v>
      </c>
      <c r="D57">
        <v>1971</v>
      </c>
      <c r="F57" t="s">
        <v>178</v>
      </c>
      <c r="G57" t="s">
        <v>79</v>
      </c>
      <c r="H57" t="s">
        <v>179</v>
      </c>
      <c r="I57" t="str">
        <f t="shared" si="1"/>
        <v>Die Mitte</v>
      </c>
    </row>
    <row r="58" spans="1:9" x14ac:dyDescent="0.35">
      <c r="A58" t="s">
        <v>180</v>
      </c>
      <c r="B58">
        <v>2009</v>
      </c>
      <c r="C58">
        <v>2024</v>
      </c>
      <c r="D58">
        <v>1959</v>
      </c>
      <c r="F58" t="s">
        <v>88</v>
      </c>
      <c r="G58" t="s">
        <v>1</v>
      </c>
      <c r="H58" t="s">
        <v>181</v>
      </c>
      <c r="I58" t="str">
        <f t="shared" si="1"/>
        <v>Mitte</v>
      </c>
    </row>
    <row r="59" spans="1:9" x14ac:dyDescent="0.35">
      <c r="A59" t="s">
        <v>182</v>
      </c>
      <c r="B59">
        <v>2016</v>
      </c>
      <c r="C59">
        <v>2024</v>
      </c>
      <c r="D59">
        <v>1959</v>
      </c>
      <c r="F59" t="s">
        <v>90</v>
      </c>
      <c r="G59" t="s">
        <v>0</v>
      </c>
      <c r="H59" t="s">
        <v>183</v>
      </c>
      <c r="I59" t="str">
        <f t="shared" si="1"/>
        <v>SP</v>
      </c>
    </row>
    <row r="60" spans="1:9" x14ac:dyDescent="0.35">
      <c r="A60" t="s">
        <v>184</v>
      </c>
      <c r="B60">
        <v>2024</v>
      </c>
      <c r="D60">
        <v>1975</v>
      </c>
      <c r="F60" t="s">
        <v>64</v>
      </c>
      <c r="G60" t="s">
        <v>0</v>
      </c>
      <c r="H60" t="s">
        <v>185</v>
      </c>
      <c r="I60" t="str">
        <f t="shared" si="1"/>
        <v>SP</v>
      </c>
    </row>
    <row r="61" spans="1:9" x14ac:dyDescent="0.35">
      <c r="A61" t="s">
        <v>186</v>
      </c>
      <c r="B61">
        <v>2004</v>
      </c>
      <c r="C61">
        <v>2021</v>
      </c>
      <c r="D61">
        <v>1957</v>
      </c>
      <c r="F61" t="s">
        <v>149</v>
      </c>
      <c r="G61" t="s">
        <v>0</v>
      </c>
      <c r="H61" t="s">
        <v>187</v>
      </c>
      <c r="I61" t="str">
        <f t="shared" si="1"/>
        <v>SP</v>
      </c>
    </row>
    <row r="62" spans="1:9" x14ac:dyDescent="0.35">
      <c r="A62" t="s">
        <v>4</v>
      </c>
      <c r="H62" t="s">
        <v>26</v>
      </c>
      <c r="I62" t="s">
        <v>2</v>
      </c>
    </row>
    <row r="63" spans="1:9" x14ac:dyDescent="0.35">
      <c r="A63" t="s">
        <v>5</v>
      </c>
      <c r="H63" t="s">
        <v>21</v>
      </c>
      <c r="I63" t="s">
        <v>0</v>
      </c>
    </row>
    <row r="64" spans="1:9" x14ac:dyDescent="0.35">
      <c r="A64" t="s">
        <v>6</v>
      </c>
      <c r="H64" t="s">
        <v>22</v>
      </c>
      <c r="I64" t="s">
        <v>2</v>
      </c>
    </row>
    <row r="65" spans="1:9" x14ac:dyDescent="0.35">
      <c r="A65" t="s">
        <v>7</v>
      </c>
      <c r="H65" t="s">
        <v>23</v>
      </c>
      <c r="I65" t="s">
        <v>1</v>
      </c>
    </row>
    <row r="66" spans="1:9" x14ac:dyDescent="0.35">
      <c r="A66" t="s">
        <v>8</v>
      </c>
      <c r="H66" t="s">
        <v>191</v>
      </c>
      <c r="I66" t="s">
        <v>0</v>
      </c>
    </row>
    <row r="67" spans="1:9" x14ac:dyDescent="0.35">
      <c r="A67" t="s">
        <v>25</v>
      </c>
      <c r="H67" t="s">
        <v>194</v>
      </c>
      <c r="I67" t="s">
        <v>2</v>
      </c>
    </row>
    <row r="68" spans="1:9" x14ac:dyDescent="0.35">
      <c r="A68" t="s">
        <v>10</v>
      </c>
      <c r="H68" t="s">
        <v>24</v>
      </c>
      <c r="I68" t="s">
        <v>2</v>
      </c>
    </row>
    <row r="69" spans="1:9" x14ac:dyDescent="0.35">
      <c r="A69" t="s">
        <v>9</v>
      </c>
      <c r="H69" t="s">
        <v>27</v>
      </c>
      <c r="I69" t="s">
        <v>2</v>
      </c>
    </row>
    <row r="70" spans="1:9" x14ac:dyDescent="0.35">
      <c r="A70" t="s">
        <v>11</v>
      </c>
      <c r="H70" t="s">
        <v>28</v>
      </c>
      <c r="I70" t="s">
        <v>0</v>
      </c>
    </row>
    <row r="71" spans="1:9" x14ac:dyDescent="0.35">
      <c r="A71" t="s">
        <v>12</v>
      </c>
      <c r="H71" t="s">
        <v>29</v>
      </c>
      <c r="I71" t="s">
        <v>2</v>
      </c>
    </row>
    <row r="72" spans="1:9" x14ac:dyDescent="0.35">
      <c r="A72" t="s">
        <v>13</v>
      </c>
      <c r="H72" t="s">
        <v>30</v>
      </c>
      <c r="I72" t="s">
        <v>38</v>
      </c>
    </row>
    <row r="73" spans="1:9" x14ac:dyDescent="0.35">
      <c r="A73" t="s">
        <v>14</v>
      </c>
      <c r="H73" t="s">
        <v>31</v>
      </c>
      <c r="I73" t="s">
        <v>2</v>
      </c>
    </row>
    <row r="74" spans="1:9" x14ac:dyDescent="0.35">
      <c r="A74" t="s">
        <v>15</v>
      </c>
      <c r="H74" t="s">
        <v>32</v>
      </c>
      <c r="I74" t="s">
        <v>38</v>
      </c>
    </row>
    <row r="75" spans="1:9" x14ac:dyDescent="0.35">
      <c r="A75" t="s">
        <v>16</v>
      </c>
      <c r="H75" t="s">
        <v>33</v>
      </c>
      <c r="I75" t="s">
        <v>2</v>
      </c>
    </row>
    <row r="76" spans="1:9" x14ac:dyDescent="0.35">
      <c r="A76" t="s">
        <v>17</v>
      </c>
      <c r="H76" t="s">
        <v>34</v>
      </c>
      <c r="I76" t="s">
        <v>0</v>
      </c>
    </row>
    <row r="77" spans="1:9" x14ac:dyDescent="0.35">
      <c r="A77" t="s">
        <v>18</v>
      </c>
      <c r="H77" t="s">
        <v>37</v>
      </c>
      <c r="I77" t="s">
        <v>0</v>
      </c>
    </row>
    <row r="78" spans="1:9" x14ac:dyDescent="0.35">
      <c r="A78" t="s">
        <v>19</v>
      </c>
      <c r="H78" t="s">
        <v>35</v>
      </c>
      <c r="I78" t="s">
        <v>2</v>
      </c>
    </row>
    <row r="79" spans="1:9" x14ac:dyDescent="0.35">
      <c r="A79" t="s">
        <v>20</v>
      </c>
      <c r="H79" t="s">
        <v>36</v>
      </c>
      <c r="I79" t="s">
        <v>2</v>
      </c>
    </row>
    <row r="80" spans="1:9" x14ac:dyDescent="0.35">
      <c r="A80" t="s">
        <v>192</v>
      </c>
      <c r="H80" t="s">
        <v>193</v>
      </c>
      <c r="I80" t="s">
        <v>38</v>
      </c>
    </row>
    <row r="81" spans="1:9" x14ac:dyDescent="0.35">
      <c r="A81" t="s">
        <v>195</v>
      </c>
      <c r="H81" t="s">
        <v>198</v>
      </c>
      <c r="I81" t="s">
        <v>1</v>
      </c>
    </row>
    <row r="82" spans="1:9" x14ac:dyDescent="0.35">
      <c r="A82" t="s">
        <v>196</v>
      </c>
      <c r="H82" t="s">
        <v>197</v>
      </c>
      <c r="I8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Mischa Aebi</cp:lastModifiedBy>
  <dcterms:created xsi:type="dcterms:W3CDTF">2026-07-17T17:04:06Z</dcterms:created>
  <dcterms:modified xsi:type="dcterms:W3CDTF">2026-07-22T02:34:08Z</dcterms:modified>
</cp:coreProperties>
</file>