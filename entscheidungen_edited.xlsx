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sch\project3-bundesgericht\"/>
    </mc:Choice>
  </mc:AlternateContent>
  <xr:revisionPtr revIDLastSave="0" documentId="13_ncr:1_{64C57115-A2D9-4083-91F0-8C083599E1A4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AbgleichMitOrigonal (2)" sheetId="2" r:id="rId1"/>
    <sheet name="Analyse-3judg_dec" sheetId="1" r:id="rId2"/>
    <sheet name="Analyse-3judg_dec_Straf" sheetId="3" r:id="rId3"/>
    <sheet name="Analyse-3judg_dec_Öffrecht" sheetId="4" r:id="rId4"/>
  </sheets>
  <definedNames>
    <definedName name="_xlnm._FilterDatabase" localSheetId="0" hidden="1">'AbgleichMitOrigonal (2)'!$A$1:$F$255</definedName>
    <definedName name="_xlnm._FilterDatabase" localSheetId="1" hidden="1">'Analyse-3judg_dec'!$A$1:$F$172</definedName>
    <definedName name="_xlnm._FilterDatabase" localSheetId="3" hidden="1">'Analyse-3judg_dec_Öffrecht'!$A$1:$F$55</definedName>
    <definedName name="_xlnm._FilterDatabase" localSheetId="2" hidden="1">'Analyse-3judg_dec_Straf'!$A$1:$F$76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4" l="1"/>
  <c r="H54" i="4"/>
  <c r="G53" i="4"/>
  <c r="H53" i="4" s="1"/>
  <c r="H52" i="4"/>
  <c r="H51" i="4"/>
  <c r="G50" i="4"/>
  <c r="H50" i="4" s="1"/>
  <c r="H49" i="4"/>
  <c r="H48" i="4"/>
  <c r="G47" i="4"/>
  <c r="H47" i="4" s="1"/>
  <c r="H46" i="4"/>
  <c r="H45" i="4"/>
  <c r="G44" i="4"/>
  <c r="H44" i="4" s="1"/>
  <c r="H43" i="4"/>
  <c r="H42" i="4"/>
  <c r="G41" i="4"/>
  <c r="H41" i="4" s="1"/>
  <c r="H40" i="4"/>
  <c r="H39" i="4"/>
  <c r="G38" i="4"/>
  <c r="H38" i="4" s="1"/>
  <c r="H37" i="4"/>
  <c r="H36" i="4"/>
  <c r="G35" i="4"/>
  <c r="H35" i="4" s="1"/>
  <c r="H34" i="4"/>
  <c r="H33" i="4"/>
  <c r="G32" i="4"/>
  <c r="H32" i="4" s="1"/>
  <c r="H31" i="4"/>
  <c r="H30" i="4"/>
  <c r="G29" i="4"/>
  <c r="H29" i="4" s="1"/>
  <c r="H28" i="4"/>
  <c r="H27" i="4"/>
  <c r="G26" i="4"/>
  <c r="H26" i="4" s="1"/>
  <c r="H25" i="4"/>
  <c r="H24" i="4"/>
  <c r="G23" i="4"/>
  <c r="H23" i="4" s="1"/>
  <c r="H22" i="4"/>
  <c r="H21" i="4"/>
  <c r="G20" i="4"/>
  <c r="H20" i="4" s="1"/>
  <c r="H19" i="4"/>
  <c r="H18" i="4"/>
  <c r="G17" i="4"/>
  <c r="H17" i="4" s="1"/>
  <c r="H16" i="4"/>
  <c r="H15" i="4"/>
  <c r="G14" i="4"/>
  <c r="H14" i="4" s="1"/>
  <c r="H13" i="4"/>
  <c r="H12" i="4"/>
  <c r="G11" i="4"/>
  <c r="H11" i="4" s="1"/>
  <c r="H10" i="4"/>
  <c r="H9" i="4"/>
  <c r="G8" i="4"/>
  <c r="H7" i="4"/>
  <c r="H6" i="4"/>
  <c r="G5" i="4"/>
  <c r="H5" i="4" s="1"/>
  <c r="H4" i="4"/>
  <c r="H3" i="4"/>
  <c r="G2" i="4"/>
  <c r="H2" i="4" s="1"/>
  <c r="J6" i="3"/>
  <c r="J5" i="3"/>
  <c r="J4" i="3"/>
  <c r="J3" i="3"/>
  <c r="J2" i="3"/>
  <c r="J1" i="3"/>
  <c r="J1" i="1"/>
  <c r="H76" i="3"/>
  <c r="H75" i="3"/>
  <c r="G74" i="3"/>
  <c r="H74" i="3" s="1"/>
  <c r="H73" i="3"/>
  <c r="H72" i="3"/>
  <c r="G71" i="3"/>
  <c r="H71" i="3" s="1"/>
  <c r="H70" i="3"/>
  <c r="H69" i="3"/>
  <c r="G68" i="3"/>
  <c r="H68" i="3" s="1"/>
  <c r="H67" i="3"/>
  <c r="H66" i="3"/>
  <c r="G65" i="3"/>
  <c r="H65" i="3" s="1"/>
  <c r="H64" i="3"/>
  <c r="H63" i="3"/>
  <c r="G62" i="3"/>
  <c r="H62" i="3" s="1"/>
  <c r="H61" i="3"/>
  <c r="H60" i="3"/>
  <c r="G59" i="3"/>
  <c r="H59" i="3" s="1"/>
  <c r="H58" i="3"/>
  <c r="H57" i="3"/>
  <c r="G56" i="3"/>
  <c r="H56" i="3" s="1"/>
  <c r="H55" i="3"/>
  <c r="H54" i="3"/>
  <c r="G53" i="3"/>
  <c r="H53" i="3" s="1"/>
  <c r="H52" i="3"/>
  <c r="H51" i="3"/>
  <c r="G50" i="3"/>
  <c r="H50" i="3" s="1"/>
  <c r="H49" i="3"/>
  <c r="H48" i="3"/>
  <c r="G47" i="3"/>
  <c r="H47" i="3" s="1"/>
  <c r="H46" i="3"/>
  <c r="H45" i="3"/>
  <c r="G44" i="3"/>
  <c r="H44" i="3" s="1"/>
  <c r="H43" i="3"/>
  <c r="H42" i="3"/>
  <c r="G41" i="3"/>
  <c r="H41" i="3" s="1"/>
  <c r="H40" i="3"/>
  <c r="H39" i="3"/>
  <c r="G38" i="3"/>
  <c r="H38" i="3" s="1"/>
  <c r="H37" i="3"/>
  <c r="H36" i="3"/>
  <c r="G35" i="3"/>
  <c r="H35" i="3" s="1"/>
  <c r="H34" i="3"/>
  <c r="H33" i="3"/>
  <c r="G32" i="3"/>
  <c r="H32" i="3" s="1"/>
  <c r="H31" i="3"/>
  <c r="H30" i="3"/>
  <c r="G29" i="3"/>
  <c r="H29" i="3" s="1"/>
  <c r="H28" i="3"/>
  <c r="H27" i="3"/>
  <c r="G26" i="3"/>
  <c r="H26" i="3" s="1"/>
  <c r="H25" i="3"/>
  <c r="H24" i="3"/>
  <c r="G23" i="3"/>
  <c r="H23" i="3" s="1"/>
  <c r="H22" i="3"/>
  <c r="H21" i="3"/>
  <c r="G20" i="3"/>
  <c r="H20" i="3" s="1"/>
  <c r="H19" i="3"/>
  <c r="H18" i="3"/>
  <c r="G17" i="3"/>
  <c r="H17" i="3" s="1"/>
  <c r="H16" i="3"/>
  <c r="H15" i="3"/>
  <c r="G14" i="3"/>
  <c r="H14" i="3" s="1"/>
  <c r="H13" i="3"/>
  <c r="H12" i="3"/>
  <c r="G11" i="3"/>
  <c r="H11" i="3" s="1"/>
  <c r="H10" i="3"/>
  <c r="H9" i="3"/>
  <c r="G8" i="3"/>
  <c r="H8" i="3" s="1"/>
  <c r="H7" i="3"/>
  <c r="H6" i="3"/>
  <c r="G5" i="3"/>
  <c r="H5" i="3" s="1"/>
  <c r="H4" i="3"/>
  <c r="H3" i="3"/>
  <c r="G2" i="3"/>
  <c r="H2" i="3" s="1"/>
  <c r="G8" i="1"/>
  <c r="J1" i="2"/>
  <c r="K257" i="2"/>
  <c r="G5" i="1"/>
  <c r="G11" i="1"/>
  <c r="G14" i="1"/>
  <c r="G17" i="1"/>
  <c r="G20" i="1"/>
  <c r="G23" i="1"/>
  <c r="G26" i="1"/>
  <c r="G29" i="1"/>
  <c r="G32" i="1"/>
  <c r="G35" i="1"/>
  <c r="H35" i="1" s="1"/>
  <c r="G38" i="1"/>
  <c r="H38" i="1" s="1"/>
  <c r="G41" i="1"/>
  <c r="H41" i="1" s="1"/>
  <c r="G44" i="1"/>
  <c r="H44" i="1" s="1"/>
  <c r="G47" i="1"/>
  <c r="H47" i="1" s="1"/>
  <c r="G50" i="1"/>
  <c r="G53" i="1"/>
  <c r="G56" i="1"/>
  <c r="G59" i="1"/>
  <c r="G62" i="1"/>
  <c r="H62" i="1" s="1"/>
  <c r="G65" i="1"/>
  <c r="H65" i="1" s="1"/>
  <c r="G68" i="1"/>
  <c r="H68" i="1" s="1"/>
  <c r="G71" i="1"/>
  <c r="H71" i="1" s="1"/>
  <c r="G74" i="1"/>
  <c r="H74" i="1" s="1"/>
  <c r="G77" i="1"/>
  <c r="H77" i="1" s="1"/>
  <c r="G80" i="1"/>
  <c r="H80" i="1" s="1"/>
  <c r="G83" i="1"/>
  <c r="H83" i="1" s="1"/>
  <c r="G86" i="1"/>
  <c r="H86" i="1" s="1"/>
  <c r="G89" i="1"/>
  <c r="G92" i="1"/>
  <c r="G95" i="1"/>
  <c r="G98" i="1"/>
  <c r="G101" i="1"/>
  <c r="G104" i="1"/>
  <c r="G107" i="1"/>
  <c r="G110" i="1"/>
  <c r="G113" i="1"/>
  <c r="G116" i="1"/>
  <c r="G119" i="1"/>
  <c r="H119" i="1" s="1"/>
  <c r="G122" i="1"/>
  <c r="H122" i="1" s="1"/>
  <c r="G125" i="1"/>
  <c r="H125" i="1" s="1"/>
  <c r="G128" i="1"/>
  <c r="H128" i="1" s="1"/>
  <c r="G131" i="1"/>
  <c r="G134" i="1"/>
  <c r="G137" i="1"/>
  <c r="G140" i="1"/>
  <c r="G143" i="1"/>
  <c r="G146" i="1"/>
  <c r="H146" i="1" s="1"/>
  <c r="G149" i="1"/>
  <c r="H149" i="1" s="1"/>
  <c r="G152" i="1"/>
  <c r="H152" i="1" s="1"/>
  <c r="G155" i="1"/>
  <c r="H155" i="1" s="1"/>
  <c r="G158" i="1"/>
  <c r="H158" i="1" s="1"/>
  <c r="G161" i="1"/>
  <c r="H161" i="1" s="1"/>
  <c r="G164" i="1"/>
  <c r="H164" i="1" s="1"/>
  <c r="G167" i="1"/>
  <c r="H167" i="1" s="1"/>
  <c r="G170" i="1"/>
  <c r="H170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6" i="1"/>
  <c r="H37" i="1"/>
  <c r="H39" i="1"/>
  <c r="H40" i="1"/>
  <c r="H42" i="1"/>
  <c r="H43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3" i="1"/>
  <c r="H64" i="1"/>
  <c r="H66" i="1"/>
  <c r="H67" i="1"/>
  <c r="H69" i="1"/>
  <c r="H70" i="1"/>
  <c r="H72" i="1"/>
  <c r="H73" i="1"/>
  <c r="H75" i="1"/>
  <c r="H76" i="1"/>
  <c r="H78" i="1"/>
  <c r="H79" i="1"/>
  <c r="H81" i="1"/>
  <c r="H82" i="1"/>
  <c r="H84" i="1"/>
  <c r="H85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20" i="1"/>
  <c r="H121" i="1"/>
  <c r="H123" i="1"/>
  <c r="H124" i="1"/>
  <c r="H126" i="1"/>
  <c r="H127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7" i="1"/>
  <c r="H148" i="1"/>
  <c r="H150" i="1"/>
  <c r="H151" i="1"/>
  <c r="H153" i="1"/>
  <c r="H154" i="1"/>
  <c r="H156" i="1"/>
  <c r="H157" i="1"/>
  <c r="H159" i="1"/>
  <c r="H160" i="1"/>
  <c r="H162" i="1"/>
  <c r="H163" i="1"/>
  <c r="H165" i="1"/>
  <c r="H166" i="1"/>
  <c r="H168" i="1"/>
  <c r="H169" i="1"/>
  <c r="H171" i="1"/>
  <c r="H172" i="1"/>
  <c r="H3" i="1"/>
  <c r="H4" i="1"/>
  <c r="G2" i="1"/>
  <c r="J1" i="4" l="1"/>
  <c r="H8" i="4"/>
  <c r="J3" i="4" s="1"/>
  <c r="J2" i="4"/>
  <c r="H2" i="1"/>
  <c r="J3" i="1" s="1"/>
  <c r="J2" i="1"/>
  <c r="J5" i="4" l="1"/>
  <c r="J4" i="4"/>
  <c r="J6" i="4"/>
  <c r="J4" i="1"/>
  <c r="J6" i="1" s="1"/>
  <c r="J5" i="1"/>
</calcChain>
</file>

<file path=xl/sharedStrings.xml><?xml version="1.0" encoding="utf-8"?>
<sst xmlns="http://schemas.openxmlformats.org/spreadsheetml/2006/main" count="2828" uniqueCount="180">
  <si>
    <t>id_filename</t>
  </si>
  <si>
    <t>decision_sign</t>
  </si>
  <si>
    <t>name</t>
  </si>
  <si>
    <t>party</t>
  </si>
  <si>
    <t>legal area</t>
  </si>
  <si>
    <t>entscheid</t>
  </si>
  <si>
    <t>7B_245/2026</t>
  </si>
  <si>
    <t>Abrecht</t>
  </si>
  <si>
    <t>SP</t>
  </si>
  <si>
    <t>Strafrecht</t>
  </si>
  <si>
    <t>gutgeheissen</t>
  </si>
  <si>
    <t>5A_564/2026</t>
  </si>
  <si>
    <t>Bovey</t>
  </si>
  <si>
    <t>FDP</t>
  </si>
  <si>
    <t>Zivilrecht</t>
  </si>
  <si>
    <t>nicht eingetreten</t>
  </si>
  <si>
    <t>5A_505/2026</t>
  </si>
  <si>
    <t>5A_508/2026</t>
  </si>
  <si>
    <t>6B_432/2025</t>
  </si>
  <si>
    <t>Muschietti</t>
  </si>
  <si>
    <t>7B_707/2026</t>
  </si>
  <si>
    <t>teilweise gutgeheissen</t>
  </si>
  <si>
    <t>4A_157/2026</t>
  </si>
  <si>
    <t>Hurni</t>
  </si>
  <si>
    <t>GLP</t>
  </si>
  <si>
    <t>5A_1078/2025</t>
  </si>
  <si>
    <t>abgewiesen</t>
  </si>
  <si>
    <t>6B_720/2025</t>
  </si>
  <si>
    <t>6B_168/2026</t>
  </si>
  <si>
    <t>1C_85/2026</t>
  </si>
  <si>
    <t>Haag</t>
  </si>
  <si>
    <t>Öffentliches Recht</t>
  </si>
  <si>
    <t>6B_945/2025</t>
  </si>
  <si>
    <t>7B_1279/2025</t>
  </si>
  <si>
    <t>2C_356/2026</t>
  </si>
  <si>
    <t>Donzallaz</t>
  </si>
  <si>
    <t>parteilos (ex SVP)</t>
  </si>
  <si>
    <t>5A_1120/2025</t>
  </si>
  <si>
    <t>6B_323/2026</t>
  </si>
  <si>
    <t>5A_234/2026</t>
  </si>
  <si>
    <t>5A_841/2025</t>
  </si>
  <si>
    <t>1C_331/2026</t>
  </si>
  <si>
    <t>6B_497/2025</t>
  </si>
  <si>
    <t>5A_1070/2025</t>
  </si>
  <si>
    <t>abgeschrieben</t>
  </si>
  <si>
    <t>6B_350/2026</t>
  </si>
  <si>
    <t>von Felten</t>
  </si>
  <si>
    <t>Die Mitte</t>
  </si>
  <si>
    <t>5A_124/2026</t>
  </si>
  <si>
    <t>5A_338/2026</t>
  </si>
  <si>
    <t>5A_450/2026</t>
  </si>
  <si>
    <t>2C_363/2026</t>
  </si>
  <si>
    <t>Aubry Girardin</t>
  </si>
  <si>
    <t>Grüne</t>
  </si>
  <si>
    <t>5A_481/2026</t>
  </si>
  <si>
    <t>5A_546/2026</t>
  </si>
  <si>
    <t>5A_604/2026</t>
  </si>
  <si>
    <t>5A_589/2026</t>
  </si>
  <si>
    <t>7B_779/2026</t>
  </si>
  <si>
    <t>2C_632/2025</t>
  </si>
  <si>
    <t>6B_946/2024</t>
  </si>
  <si>
    <t>2C_634/2025</t>
  </si>
  <si>
    <t>4A_654/2025</t>
  </si>
  <si>
    <t>2C_31/2025, 2C_34/2025</t>
  </si>
  <si>
    <t>1C_730/2025</t>
  </si>
  <si>
    <t>Kneubühler</t>
  </si>
  <si>
    <t>2C_603/2025</t>
  </si>
  <si>
    <t>1C_100/2026</t>
  </si>
  <si>
    <t>Müller</t>
  </si>
  <si>
    <t>SVP</t>
  </si>
  <si>
    <t>1C_46/2026</t>
  </si>
  <si>
    <t>6B_735/2025</t>
  </si>
  <si>
    <t>6B_747/2025</t>
  </si>
  <si>
    <t>8C_714/2025</t>
  </si>
  <si>
    <t>Viscione</t>
  </si>
  <si>
    <t>7B_384/2025</t>
  </si>
  <si>
    <t>7B_594/2024</t>
  </si>
  <si>
    <t>8C_283/2025</t>
  </si>
  <si>
    <t>8C_529/2025</t>
  </si>
  <si>
    <t>6B_893/2025</t>
  </si>
  <si>
    <t>1C_204/2026</t>
  </si>
  <si>
    <t>6B_125/2026</t>
  </si>
  <si>
    <t>8C_370/2026</t>
  </si>
  <si>
    <t>6B_650/2024</t>
  </si>
  <si>
    <t>6B_909/2025</t>
  </si>
  <si>
    <t>6B_976/2025</t>
  </si>
  <si>
    <t>6B_595/2025, 6B_620/2025</t>
  </si>
  <si>
    <t>7B_1214/2025</t>
  </si>
  <si>
    <t>5A_1034/2025</t>
  </si>
  <si>
    <t>5A_474/2026</t>
  </si>
  <si>
    <t>6B_328/2025</t>
  </si>
  <si>
    <t>7B_1145/2025</t>
  </si>
  <si>
    <t>8C_609/2025</t>
  </si>
  <si>
    <t>8C_407/2026</t>
  </si>
  <si>
    <t>6B_932/2025</t>
  </si>
  <si>
    <t>7F_23/2026</t>
  </si>
  <si>
    <t>AndererBereich</t>
  </si>
  <si>
    <t>1C_626/2025</t>
  </si>
  <si>
    <t>7B_143/2026</t>
  </si>
  <si>
    <t>8C_417/2026</t>
  </si>
  <si>
    <t>6B_657/2024, 6B_662/2024</t>
  </si>
  <si>
    <t>7B_222/2026</t>
  </si>
  <si>
    <t>7B_285/2026</t>
  </si>
  <si>
    <t>9C_385/2026</t>
  </si>
  <si>
    <t>Moser-Szeless</t>
  </si>
  <si>
    <t>1C_397/2024</t>
  </si>
  <si>
    <t>9C_386/2026</t>
  </si>
  <si>
    <t>5A_454/2026</t>
  </si>
  <si>
    <t>5A_523/2026</t>
  </si>
  <si>
    <t>5D_23/2026</t>
  </si>
  <si>
    <t>Subsidiäre Verfassungsbeschwerde</t>
  </si>
  <si>
    <t>6B_158/2026</t>
  </si>
  <si>
    <t>2C_47/2025</t>
  </si>
  <si>
    <t>1C_563/2025, 1C_566/2025, 1C_570/2025,</t>
  </si>
  <si>
    <t>4A_236/2024</t>
  </si>
  <si>
    <t>4A_310/2024</t>
  </si>
  <si>
    <t>1C_580/2024</t>
  </si>
  <si>
    <t>5A_562/2026</t>
  </si>
  <si>
    <t>6B_856/2025</t>
  </si>
  <si>
    <t>2C_586/2025</t>
  </si>
  <si>
    <t>8C_8/2026</t>
  </si>
  <si>
    <t>9C_54/2026</t>
  </si>
  <si>
    <t>4A_219/2026</t>
  </si>
  <si>
    <t>4A_221/2026</t>
  </si>
  <si>
    <t>9C_315/2026, 9C_316/2026</t>
  </si>
  <si>
    <t>9C_322/2025</t>
  </si>
  <si>
    <t>4D_230/2025</t>
  </si>
  <si>
    <t>7B_1354/2025</t>
  </si>
  <si>
    <t>Koch</t>
  </si>
  <si>
    <t>5A_563/2026</t>
  </si>
  <si>
    <t>Kölz</t>
  </si>
  <si>
    <t>Herrmann</t>
  </si>
  <si>
    <t>7B_570/2026</t>
  </si>
  <si>
    <t>Wohlhauser</t>
  </si>
  <si>
    <t>van de Graaf</t>
  </si>
  <si>
    <t>Hartmann</t>
  </si>
  <si>
    <t>De Rossa</t>
  </si>
  <si>
    <t>Chaix</t>
  </si>
  <si>
    <t>Heine</t>
  </si>
  <si>
    <t>Denys</t>
  </si>
  <si>
    <t>7B_593/2026</t>
  </si>
  <si>
    <t>Maillard</t>
  </si>
  <si>
    <t>7B_428/2026</t>
  </si>
  <si>
    <t>7B_524/2026</t>
  </si>
  <si>
    <t>7B_534/2026</t>
  </si>
  <si>
    <t>Guidon</t>
  </si>
  <si>
    <t>Kradolfer</t>
  </si>
  <si>
    <t>Glassey</t>
  </si>
  <si>
    <t>7B_596/2026</t>
  </si>
  <si>
    <t>Kiss</t>
  </si>
  <si>
    <t>Hänni</t>
  </si>
  <si>
    <t>Parrino</t>
  </si>
  <si>
    <t>Beusch</t>
  </si>
  <si>
    <t>Stadelmann</t>
  </si>
  <si>
    <t>Hofmann</t>
  </si>
  <si>
    <t>Josi</t>
  </si>
  <si>
    <t>Merz</t>
  </si>
  <si>
    <t>Mitte</t>
  </si>
  <si>
    <t>Brunner</t>
  </si>
  <si>
    <t>Rüedi</t>
  </si>
  <si>
    <t>Scherrer Reber</t>
  </si>
  <si>
    <t>Lötscher</t>
  </si>
  <si>
    <t>Bischoff</t>
  </si>
  <si>
    <t>Métral</t>
  </si>
  <si>
    <t>Mecca</t>
  </si>
  <si>
    <t>Ryter</t>
  </si>
  <si>
    <t>Bollinger</t>
  </si>
  <si>
    <t>May Canellas</t>
  </si>
  <si>
    <t>Petrik-Haltiner</t>
  </si>
  <si>
    <t>abgeglichen</t>
  </si>
  <si>
    <t>ok</t>
  </si>
  <si>
    <t>hier ist verinigung und nichteintreten und abweisung</t>
  </si>
  <si>
    <t>Total Urteile mit rechter Mehrheit (SVP, FDP)</t>
  </si>
  <si>
    <t>Total Urteile mit linker Mehrheit (Grüne SP)</t>
  </si>
  <si>
    <t>rechte oder linke mehrheit</t>
  </si>
  <si>
    <t>Total gutgeheissen ode teilw gutgeheissen rechts</t>
  </si>
  <si>
    <t>Total gutgeheissen ode teilw gutgeheissen rechts prozent</t>
  </si>
  <si>
    <t>Total gutgeheissen ode teilw gutgeheissen links</t>
  </si>
  <si>
    <t>3er</t>
  </si>
  <si>
    <t>Total gutgeheissen ode teilw gutgeheissen links prozent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</si>
</sst>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3EE2-2A6C-4C6C-862E-C1F0036E3E9C}">
  <dimension ref="A1:K257"/>
  <sheetViews>
    <sheetView workbookViewId="0">
      <selection activeCell="L5" sqref="L5"/>
    </sheetView>
  </sheetViews>
  <sheetFormatPr baseColWidth="10" defaultColWidth="8.7265625" defaultRowHeight="14.5" x14ac:dyDescent="0.35"/>
  <cols>
    <col min="1" max="1" width="23.6328125" customWidth="1"/>
    <col min="2" max="2" width="37.453125" customWidth="1"/>
    <col min="3" max="3" width="19.08984375" customWidth="1"/>
    <col min="5" max="5" width="21.453125" customWidth="1"/>
    <col min="6" max="6" width="26.1796875" customWidth="1"/>
    <col min="7" max="7" width="24.81640625" customWidth="1"/>
    <col min="8" max="8" width="13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169</v>
      </c>
      <c r="I1" t="s">
        <v>178</v>
      </c>
      <c r="J1">
        <f>SUM(I:I)</f>
        <v>57</v>
      </c>
    </row>
    <row r="2" spans="1:10" x14ac:dyDescent="0.35">
      <c r="A2" s="1">
        <v>45</v>
      </c>
      <c r="B2" s="1" t="s">
        <v>67</v>
      </c>
      <c r="C2" s="1" t="s">
        <v>68</v>
      </c>
      <c r="D2" s="1" t="s">
        <v>69</v>
      </c>
      <c r="E2" s="1" t="s">
        <v>31</v>
      </c>
      <c r="F2" s="1" t="s">
        <v>10</v>
      </c>
      <c r="G2" s="1"/>
      <c r="H2" s="1" t="s">
        <v>170</v>
      </c>
      <c r="I2">
        <v>1</v>
      </c>
    </row>
    <row r="3" spans="1:10" x14ac:dyDescent="0.35">
      <c r="A3" s="1">
        <v>45</v>
      </c>
      <c r="B3" s="1" t="s">
        <v>67</v>
      </c>
      <c r="C3" s="1" t="s">
        <v>137</v>
      </c>
      <c r="D3" s="1" t="s">
        <v>13</v>
      </c>
      <c r="E3" s="1" t="s">
        <v>31</v>
      </c>
      <c r="F3" s="1" t="s">
        <v>10</v>
      </c>
      <c r="G3" s="1"/>
    </row>
    <row r="4" spans="1:10" x14ac:dyDescent="0.35">
      <c r="A4" s="1">
        <v>45</v>
      </c>
      <c r="B4" s="1" t="s">
        <v>67</v>
      </c>
      <c r="C4" s="1" t="s">
        <v>156</v>
      </c>
      <c r="D4" s="1" t="s">
        <v>157</v>
      </c>
      <c r="E4" s="1" t="s">
        <v>31</v>
      </c>
      <c r="F4" s="1" t="s">
        <v>10</v>
      </c>
      <c r="G4" s="1"/>
    </row>
    <row r="5" spans="1:10" x14ac:dyDescent="0.35">
      <c r="A5" s="2">
        <v>58</v>
      </c>
      <c r="B5" s="2" t="s">
        <v>80</v>
      </c>
      <c r="C5" s="2" t="s">
        <v>30</v>
      </c>
      <c r="D5" s="2" t="s">
        <v>24</v>
      </c>
      <c r="E5" s="2" t="s">
        <v>31</v>
      </c>
      <c r="F5" s="2" t="s">
        <v>15</v>
      </c>
      <c r="G5" s="2"/>
      <c r="H5" s="2" t="s">
        <v>170</v>
      </c>
      <c r="I5">
        <v>1</v>
      </c>
    </row>
    <row r="6" spans="1:10" x14ac:dyDescent="0.35">
      <c r="A6" s="2">
        <v>58</v>
      </c>
      <c r="B6" s="2" t="s">
        <v>80</v>
      </c>
      <c r="C6" s="2" t="s">
        <v>65</v>
      </c>
      <c r="D6" s="2" t="s">
        <v>8</v>
      </c>
      <c r="E6" s="2" t="s">
        <v>31</v>
      </c>
      <c r="F6" s="2" t="s">
        <v>15</v>
      </c>
      <c r="G6" s="2"/>
    </row>
    <row r="7" spans="1:10" x14ac:dyDescent="0.35">
      <c r="A7" s="2">
        <v>58</v>
      </c>
      <c r="B7" s="2" t="s">
        <v>80</v>
      </c>
      <c r="C7" s="2" t="s">
        <v>68</v>
      </c>
      <c r="D7" s="2" t="s">
        <v>69</v>
      </c>
      <c r="E7" s="2" t="s">
        <v>31</v>
      </c>
      <c r="F7" s="2" t="s">
        <v>15</v>
      </c>
      <c r="G7" s="2"/>
    </row>
    <row r="8" spans="1:10" x14ac:dyDescent="0.35">
      <c r="A8" s="3">
        <v>27</v>
      </c>
      <c r="B8" s="3" t="s">
        <v>41</v>
      </c>
      <c r="C8" s="3" t="s">
        <v>30</v>
      </c>
      <c r="D8" s="3" t="s">
        <v>24</v>
      </c>
      <c r="E8" s="3" t="s">
        <v>31</v>
      </c>
      <c r="F8" s="3" t="s">
        <v>15</v>
      </c>
      <c r="G8" s="3"/>
      <c r="H8" s="3" t="s">
        <v>170</v>
      </c>
      <c r="I8">
        <v>1</v>
      </c>
    </row>
    <row r="9" spans="1:10" x14ac:dyDescent="0.35">
      <c r="A9" s="3">
        <v>27</v>
      </c>
      <c r="B9" s="3" t="s">
        <v>41</v>
      </c>
      <c r="C9" s="3" t="s">
        <v>137</v>
      </c>
      <c r="D9" s="3" t="s">
        <v>13</v>
      </c>
      <c r="E9" s="3" t="s">
        <v>31</v>
      </c>
      <c r="F9" s="3" t="s">
        <v>15</v>
      </c>
      <c r="G9" s="3"/>
    </row>
    <row r="10" spans="1:10" x14ac:dyDescent="0.35">
      <c r="A10" s="3">
        <v>27</v>
      </c>
      <c r="B10" s="3" t="s">
        <v>41</v>
      </c>
      <c r="C10" s="3" t="s">
        <v>156</v>
      </c>
      <c r="D10" s="3" t="s">
        <v>157</v>
      </c>
      <c r="E10" s="3" t="s">
        <v>31</v>
      </c>
      <c r="F10" s="3" t="s">
        <v>15</v>
      </c>
      <c r="G10" s="3"/>
    </row>
    <row r="11" spans="1:10" x14ac:dyDescent="0.35">
      <c r="A11" s="4">
        <v>7</v>
      </c>
      <c r="B11" s="4" t="s">
        <v>105</v>
      </c>
      <c r="C11" s="4" t="s">
        <v>30</v>
      </c>
      <c r="D11" s="4" t="s">
        <v>24</v>
      </c>
      <c r="E11" s="4" t="s">
        <v>31</v>
      </c>
      <c r="F11" s="4" t="s">
        <v>15</v>
      </c>
      <c r="G11" s="4"/>
      <c r="H11" s="4" t="s">
        <v>170</v>
      </c>
      <c r="I11">
        <v>1</v>
      </c>
    </row>
    <row r="12" spans="1:10" x14ac:dyDescent="0.35">
      <c r="A12" s="4">
        <v>7</v>
      </c>
      <c r="B12" s="4" t="s">
        <v>105</v>
      </c>
      <c r="C12" s="4" t="s">
        <v>65</v>
      </c>
      <c r="D12" s="4" t="s">
        <v>8</v>
      </c>
      <c r="E12" s="4" t="s">
        <v>31</v>
      </c>
      <c r="F12" s="4" t="s">
        <v>15</v>
      </c>
      <c r="G12" s="4"/>
    </row>
    <row r="13" spans="1:10" x14ac:dyDescent="0.35">
      <c r="A13" s="4">
        <v>7</v>
      </c>
      <c r="B13" s="4" t="s">
        <v>105</v>
      </c>
      <c r="C13" s="4" t="s">
        <v>164</v>
      </c>
      <c r="D13" s="4" t="s">
        <v>13</v>
      </c>
      <c r="E13" s="4" t="s">
        <v>31</v>
      </c>
      <c r="F13" s="4" t="s">
        <v>15</v>
      </c>
      <c r="G13" s="4"/>
    </row>
    <row r="14" spans="1:10" x14ac:dyDescent="0.35">
      <c r="A14" s="5">
        <v>46</v>
      </c>
      <c r="B14" s="5" t="s">
        <v>70</v>
      </c>
      <c r="C14" s="5" t="s">
        <v>68</v>
      </c>
      <c r="D14" s="5" t="s">
        <v>69</v>
      </c>
      <c r="E14" s="5" t="s">
        <v>31</v>
      </c>
      <c r="F14" s="5" t="s">
        <v>10</v>
      </c>
      <c r="G14" s="5"/>
      <c r="H14" s="5" t="s">
        <v>170</v>
      </c>
      <c r="I14">
        <v>1</v>
      </c>
    </row>
    <row r="15" spans="1:10" x14ac:dyDescent="0.35">
      <c r="A15" s="5">
        <v>46</v>
      </c>
      <c r="B15" s="5" t="s">
        <v>70</v>
      </c>
      <c r="C15" s="5" t="s">
        <v>137</v>
      </c>
      <c r="D15" s="5" t="s">
        <v>13</v>
      </c>
      <c r="E15" s="5" t="s">
        <v>31</v>
      </c>
      <c r="F15" s="5" t="s">
        <v>10</v>
      </c>
      <c r="G15" s="5"/>
    </row>
    <row r="16" spans="1:10" x14ac:dyDescent="0.35">
      <c r="A16" s="5">
        <v>46</v>
      </c>
      <c r="B16" s="5" t="s">
        <v>70</v>
      </c>
      <c r="C16" s="5" t="s">
        <v>156</v>
      </c>
      <c r="D16" s="5" t="s">
        <v>157</v>
      </c>
      <c r="E16" s="5" t="s">
        <v>31</v>
      </c>
      <c r="F16" s="5" t="s">
        <v>10</v>
      </c>
      <c r="G16" s="5"/>
    </row>
    <row r="17" spans="1:9" x14ac:dyDescent="0.35">
      <c r="A17" s="3">
        <v>86</v>
      </c>
      <c r="B17" s="3" t="s">
        <v>113</v>
      </c>
      <c r="C17" s="3" t="s">
        <v>30</v>
      </c>
      <c r="D17" s="3" t="s">
        <v>24</v>
      </c>
      <c r="E17" s="3" t="s">
        <v>31</v>
      </c>
      <c r="F17" s="3" t="s">
        <v>15</v>
      </c>
      <c r="G17" s="3"/>
      <c r="H17" s="3" t="s">
        <v>170</v>
      </c>
      <c r="I17" s="3" t="s">
        <v>171</v>
      </c>
    </row>
    <row r="18" spans="1:9" x14ac:dyDescent="0.35">
      <c r="A18" s="3">
        <v>86</v>
      </c>
      <c r="B18" s="3" t="s">
        <v>113</v>
      </c>
      <c r="C18" s="3" t="s">
        <v>137</v>
      </c>
      <c r="D18" s="3" t="s">
        <v>13</v>
      </c>
      <c r="E18" s="3" t="s">
        <v>31</v>
      </c>
      <c r="F18" s="3" t="s">
        <v>15</v>
      </c>
      <c r="G18" s="3"/>
    </row>
    <row r="19" spans="1:9" x14ac:dyDescent="0.35">
      <c r="A19" s="3">
        <v>86</v>
      </c>
      <c r="B19" s="3" t="s">
        <v>113</v>
      </c>
      <c r="C19" s="3" t="s">
        <v>65</v>
      </c>
      <c r="D19" s="3" t="s">
        <v>8</v>
      </c>
      <c r="E19" s="3" t="s">
        <v>31</v>
      </c>
      <c r="F19" s="3" t="s">
        <v>15</v>
      </c>
      <c r="G19" s="3"/>
    </row>
    <row r="20" spans="1:9" x14ac:dyDescent="0.35">
      <c r="A20" s="3">
        <v>86</v>
      </c>
      <c r="B20" s="3" t="s">
        <v>113</v>
      </c>
      <c r="C20" s="3" t="s">
        <v>68</v>
      </c>
      <c r="D20" s="3" t="s">
        <v>69</v>
      </c>
      <c r="E20" s="3" t="s">
        <v>31</v>
      </c>
      <c r="F20" s="3" t="s">
        <v>15</v>
      </c>
      <c r="G20" s="3"/>
    </row>
    <row r="21" spans="1:9" x14ac:dyDescent="0.35">
      <c r="A21" s="3">
        <v>86</v>
      </c>
      <c r="B21" s="3" t="s">
        <v>113</v>
      </c>
      <c r="C21" s="3" t="s">
        <v>156</v>
      </c>
      <c r="D21" s="3" t="s">
        <v>157</v>
      </c>
      <c r="E21" s="3" t="s">
        <v>31</v>
      </c>
      <c r="F21" s="3" t="s">
        <v>15</v>
      </c>
      <c r="G21" s="3"/>
    </row>
    <row r="22" spans="1:9" x14ac:dyDescent="0.35">
      <c r="A22" s="6">
        <v>89</v>
      </c>
      <c r="B22" s="6" t="s">
        <v>116</v>
      </c>
      <c r="C22" s="6" t="s">
        <v>65</v>
      </c>
      <c r="D22" s="6" t="s">
        <v>8</v>
      </c>
      <c r="E22" s="6" t="s">
        <v>31</v>
      </c>
      <c r="F22" s="6" t="s">
        <v>10</v>
      </c>
      <c r="G22" s="6"/>
      <c r="H22" s="6" t="s">
        <v>170</v>
      </c>
      <c r="I22">
        <v>1</v>
      </c>
    </row>
    <row r="23" spans="1:9" x14ac:dyDescent="0.35">
      <c r="A23" s="6">
        <v>89</v>
      </c>
      <c r="B23" s="6" t="s">
        <v>116</v>
      </c>
      <c r="C23" s="6" t="s">
        <v>68</v>
      </c>
      <c r="D23" s="6" t="s">
        <v>69</v>
      </c>
      <c r="E23" s="6" t="s">
        <v>31</v>
      </c>
      <c r="F23" s="6" t="s">
        <v>10</v>
      </c>
      <c r="G23" s="6"/>
    </row>
    <row r="24" spans="1:9" x14ac:dyDescent="0.35">
      <c r="A24" s="6">
        <v>89</v>
      </c>
      <c r="B24" s="6" t="s">
        <v>116</v>
      </c>
      <c r="C24" s="6" t="s">
        <v>150</v>
      </c>
      <c r="D24" s="6" t="s">
        <v>47</v>
      </c>
      <c r="E24" s="6" t="s">
        <v>31</v>
      </c>
      <c r="F24" s="6" t="s">
        <v>10</v>
      </c>
      <c r="G24" s="6"/>
    </row>
    <row r="25" spans="1:9" x14ac:dyDescent="0.35">
      <c r="A25" s="7">
        <v>73</v>
      </c>
      <c r="B25" s="7" t="s">
        <v>97</v>
      </c>
      <c r="C25" s="7" t="s">
        <v>30</v>
      </c>
      <c r="D25" s="7" t="s">
        <v>24</v>
      </c>
      <c r="E25" s="7" t="s">
        <v>31</v>
      </c>
      <c r="F25" s="7" t="s">
        <v>21</v>
      </c>
      <c r="G25" s="7"/>
      <c r="H25" s="7" t="s">
        <v>170</v>
      </c>
      <c r="I25">
        <v>1</v>
      </c>
    </row>
    <row r="26" spans="1:9" x14ac:dyDescent="0.35">
      <c r="A26" s="7">
        <v>73</v>
      </c>
      <c r="B26" s="7" t="s">
        <v>97</v>
      </c>
      <c r="C26" s="7" t="s">
        <v>68</v>
      </c>
      <c r="D26" s="7" t="s">
        <v>69</v>
      </c>
      <c r="E26" s="7" t="s">
        <v>31</v>
      </c>
      <c r="F26" s="7" t="s">
        <v>21</v>
      </c>
      <c r="G26" s="7"/>
    </row>
    <row r="27" spans="1:9" x14ac:dyDescent="0.35">
      <c r="A27" s="7">
        <v>73</v>
      </c>
      <c r="B27" s="7" t="s">
        <v>97</v>
      </c>
      <c r="C27" s="7" t="s">
        <v>156</v>
      </c>
      <c r="D27" s="7" t="s">
        <v>157</v>
      </c>
      <c r="E27" s="7" t="s">
        <v>31</v>
      </c>
      <c r="F27" s="7" t="s">
        <v>21</v>
      </c>
      <c r="G27" s="7"/>
    </row>
    <row r="28" spans="1:9" x14ac:dyDescent="0.35">
      <c r="A28" s="8">
        <v>43</v>
      </c>
      <c r="B28" s="8" t="s">
        <v>64</v>
      </c>
      <c r="C28" s="8" t="s">
        <v>65</v>
      </c>
      <c r="D28" s="8" t="s">
        <v>8</v>
      </c>
      <c r="E28" s="8" t="s">
        <v>31</v>
      </c>
      <c r="F28" s="8" t="s">
        <v>10</v>
      </c>
      <c r="G28" s="8"/>
      <c r="H28" s="8" t="s">
        <v>170</v>
      </c>
      <c r="I28">
        <v>1</v>
      </c>
    </row>
    <row r="29" spans="1:9" x14ac:dyDescent="0.35">
      <c r="A29" s="8">
        <v>43</v>
      </c>
      <c r="B29" s="8" t="s">
        <v>64</v>
      </c>
      <c r="C29" s="8" t="s">
        <v>68</v>
      </c>
      <c r="D29" s="8" t="s">
        <v>69</v>
      </c>
      <c r="E29" s="8" t="s">
        <v>31</v>
      </c>
      <c r="F29" s="8" t="s">
        <v>10</v>
      </c>
      <c r="G29" s="8"/>
    </row>
    <row r="30" spans="1:9" x14ac:dyDescent="0.35">
      <c r="A30" s="8">
        <v>43</v>
      </c>
      <c r="B30" s="8" t="s">
        <v>64</v>
      </c>
      <c r="C30" s="8" t="s">
        <v>150</v>
      </c>
      <c r="D30" s="8" t="s">
        <v>47</v>
      </c>
      <c r="E30" s="8" t="s">
        <v>31</v>
      </c>
      <c r="F30" s="8" t="s">
        <v>10</v>
      </c>
      <c r="G30" s="8"/>
    </row>
    <row r="31" spans="1:9" x14ac:dyDescent="0.35">
      <c r="A31" s="7">
        <v>1</v>
      </c>
      <c r="B31" s="7" t="s">
        <v>29</v>
      </c>
      <c r="C31" s="7" t="s">
        <v>30</v>
      </c>
      <c r="D31" s="7" t="s">
        <v>24</v>
      </c>
      <c r="E31" s="7" t="s">
        <v>31</v>
      </c>
      <c r="F31" s="7" t="s">
        <v>26</v>
      </c>
      <c r="G31" s="7"/>
      <c r="H31" s="7" t="s">
        <v>170</v>
      </c>
      <c r="I31">
        <v>1</v>
      </c>
    </row>
    <row r="32" spans="1:9" x14ac:dyDescent="0.35">
      <c r="A32" s="7">
        <v>1</v>
      </c>
      <c r="B32" s="7" t="s">
        <v>29</v>
      </c>
      <c r="C32" s="7" t="s">
        <v>65</v>
      </c>
      <c r="D32" s="7" t="s">
        <v>8</v>
      </c>
      <c r="E32" s="7" t="s">
        <v>31</v>
      </c>
      <c r="F32" s="7" t="s">
        <v>26</v>
      </c>
      <c r="G32" s="7"/>
    </row>
    <row r="33" spans="1:9" x14ac:dyDescent="0.35">
      <c r="A33" s="7">
        <v>1</v>
      </c>
      <c r="B33" s="7" t="s">
        <v>29</v>
      </c>
      <c r="C33" s="7" t="s">
        <v>156</v>
      </c>
      <c r="D33" s="7" t="s">
        <v>157</v>
      </c>
      <c r="E33" s="7" t="s">
        <v>31</v>
      </c>
      <c r="F33" s="7" t="s">
        <v>26</v>
      </c>
      <c r="G33" s="7"/>
    </row>
    <row r="34" spans="1:9" x14ac:dyDescent="0.35">
      <c r="A34" s="9">
        <v>42</v>
      </c>
      <c r="B34" s="9" t="s">
        <v>63</v>
      </c>
      <c r="C34" s="9" t="s">
        <v>52</v>
      </c>
      <c r="D34" s="9" t="s">
        <v>53</v>
      </c>
      <c r="E34" s="9" t="s">
        <v>31</v>
      </c>
      <c r="F34" s="9" t="s">
        <v>26</v>
      </c>
      <c r="G34" s="9"/>
    </row>
    <row r="35" spans="1:9" x14ac:dyDescent="0.35">
      <c r="A35" s="9">
        <v>42</v>
      </c>
      <c r="B35" s="9" t="s">
        <v>63</v>
      </c>
      <c r="C35" s="9" t="s">
        <v>35</v>
      </c>
      <c r="D35" s="9" t="s">
        <v>36</v>
      </c>
      <c r="E35" s="9" t="s">
        <v>31</v>
      </c>
      <c r="F35" s="9" t="s">
        <v>26</v>
      </c>
      <c r="G35" s="9"/>
    </row>
    <row r="36" spans="1:9" x14ac:dyDescent="0.35">
      <c r="A36" s="9">
        <v>42</v>
      </c>
      <c r="B36" s="9" t="s">
        <v>63</v>
      </c>
      <c r="C36" s="9" t="s">
        <v>150</v>
      </c>
      <c r="D36" s="9" t="s">
        <v>47</v>
      </c>
      <c r="E36" s="9" t="s">
        <v>31</v>
      </c>
      <c r="F36" s="9" t="s">
        <v>26</v>
      </c>
      <c r="G36" s="9"/>
    </row>
    <row r="37" spans="1:9" x14ac:dyDescent="0.35">
      <c r="A37" s="9">
        <v>42</v>
      </c>
      <c r="B37" s="9" t="s">
        <v>63</v>
      </c>
      <c r="C37" s="9" t="s">
        <v>165</v>
      </c>
      <c r="D37" s="9" t="s">
        <v>8</v>
      </c>
      <c r="E37" s="9" t="s">
        <v>31</v>
      </c>
      <c r="F37" s="9" t="s">
        <v>26</v>
      </c>
      <c r="G37" s="9"/>
    </row>
    <row r="38" spans="1:9" x14ac:dyDescent="0.35">
      <c r="A38" s="9">
        <v>42</v>
      </c>
      <c r="B38" s="9" t="s">
        <v>63</v>
      </c>
      <c r="C38" s="9" t="s">
        <v>168</v>
      </c>
      <c r="D38" s="9" t="s">
        <v>8</v>
      </c>
      <c r="E38" s="9" t="s">
        <v>31</v>
      </c>
      <c r="F38" s="9" t="s">
        <v>26</v>
      </c>
      <c r="G38" s="9"/>
    </row>
    <row r="39" spans="1:9" x14ac:dyDescent="0.35">
      <c r="A39" s="12">
        <v>22</v>
      </c>
      <c r="B39" s="12" t="s">
        <v>34</v>
      </c>
      <c r="C39" s="12" t="s">
        <v>35</v>
      </c>
      <c r="D39" s="12" t="s">
        <v>36</v>
      </c>
      <c r="E39" s="12" t="s">
        <v>31</v>
      </c>
      <c r="F39" s="12" t="s">
        <v>15</v>
      </c>
      <c r="G39" s="12"/>
    </row>
    <row r="40" spans="1:9" x14ac:dyDescent="0.35">
      <c r="A40" s="10">
        <v>33</v>
      </c>
      <c r="B40" s="10" t="s">
        <v>51</v>
      </c>
      <c r="C40" s="10" t="s">
        <v>52</v>
      </c>
      <c r="D40" s="10" t="s">
        <v>53</v>
      </c>
      <c r="E40" s="10" t="s">
        <v>31</v>
      </c>
      <c r="F40" s="10" t="s">
        <v>15</v>
      </c>
      <c r="G40" s="10"/>
    </row>
    <row r="41" spans="1:9" x14ac:dyDescent="0.35">
      <c r="A41" s="11">
        <v>85</v>
      </c>
      <c r="B41" s="7" t="s">
        <v>112</v>
      </c>
      <c r="C41" s="7" t="s">
        <v>52</v>
      </c>
      <c r="D41" s="7" t="s">
        <v>53</v>
      </c>
      <c r="E41" s="7" t="s">
        <v>31</v>
      </c>
      <c r="F41" s="7" t="s">
        <v>26</v>
      </c>
      <c r="G41" s="7"/>
    </row>
    <row r="42" spans="1:9" x14ac:dyDescent="0.35">
      <c r="A42" s="11">
        <v>85</v>
      </c>
      <c r="B42" s="7" t="s">
        <v>112</v>
      </c>
      <c r="C42" s="7" t="s">
        <v>35</v>
      </c>
      <c r="D42" s="7" t="s">
        <v>36</v>
      </c>
      <c r="E42" s="7" t="s">
        <v>31</v>
      </c>
      <c r="F42" s="7" t="s">
        <v>26</v>
      </c>
      <c r="G42" s="7"/>
    </row>
    <row r="43" spans="1:9" x14ac:dyDescent="0.35">
      <c r="A43">
        <v>85</v>
      </c>
      <c r="B43" s="7" t="s">
        <v>112</v>
      </c>
      <c r="C43" s="7" t="s">
        <v>150</v>
      </c>
      <c r="D43" s="7" t="s">
        <v>47</v>
      </c>
      <c r="E43" s="7" t="s">
        <v>31</v>
      </c>
      <c r="F43" s="7" t="s">
        <v>26</v>
      </c>
      <c r="G43" s="7"/>
    </row>
    <row r="44" spans="1:9" x14ac:dyDescent="0.35">
      <c r="A44">
        <v>85</v>
      </c>
      <c r="B44" s="7" t="s">
        <v>112</v>
      </c>
      <c r="C44" s="7" t="s">
        <v>165</v>
      </c>
      <c r="D44" s="7" t="s">
        <v>8</v>
      </c>
      <c r="E44" s="7" t="s">
        <v>31</v>
      </c>
      <c r="F44" s="7" t="s">
        <v>26</v>
      </c>
      <c r="G44" s="7"/>
    </row>
    <row r="45" spans="1:9" x14ac:dyDescent="0.35">
      <c r="A45">
        <v>85</v>
      </c>
      <c r="B45" s="7" t="s">
        <v>112</v>
      </c>
      <c r="C45" s="7" t="s">
        <v>146</v>
      </c>
      <c r="D45" s="7" t="s">
        <v>13</v>
      </c>
      <c r="E45" s="7" t="s">
        <v>31</v>
      </c>
      <c r="F45" s="7" t="s">
        <v>26</v>
      </c>
      <c r="G45" s="7"/>
    </row>
    <row r="46" spans="1:9" x14ac:dyDescent="0.35">
      <c r="A46">
        <v>91</v>
      </c>
      <c r="B46" s="13" t="s">
        <v>119</v>
      </c>
      <c r="C46" s="13" t="s">
        <v>35</v>
      </c>
      <c r="D46" s="13" t="s">
        <v>36</v>
      </c>
      <c r="E46" s="13" t="s">
        <v>31</v>
      </c>
      <c r="F46" s="13" t="s">
        <v>10</v>
      </c>
      <c r="G46" s="13"/>
      <c r="I46">
        <v>1</v>
      </c>
    </row>
    <row r="47" spans="1:9" x14ac:dyDescent="0.35">
      <c r="A47">
        <v>91</v>
      </c>
      <c r="B47" s="13" t="s">
        <v>119</v>
      </c>
      <c r="C47" s="13" t="s">
        <v>150</v>
      </c>
      <c r="D47" s="13" t="s">
        <v>47</v>
      </c>
      <c r="E47" s="13" t="s">
        <v>31</v>
      </c>
      <c r="F47" s="13" t="s">
        <v>10</v>
      </c>
      <c r="G47" s="13"/>
    </row>
    <row r="48" spans="1:9" x14ac:dyDescent="0.35">
      <c r="A48">
        <v>91</v>
      </c>
      <c r="B48" s="13" t="s">
        <v>119</v>
      </c>
      <c r="C48" s="13" t="s">
        <v>165</v>
      </c>
      <c r="D48" s="13" t="s">
        <v>8</v>
      </c>
      <c r="E48" s="13" t="s">
        <v>31</v>
      </c>
      <c r="F48" s="13" t="s">
        <v>10</v>
      </c>
      <c r="G48" s="13"/>
    </row>
    <row r="49" spans="1:9" x14ac:dyDescent="0.35">
      <c r="A49">
        <v>44</v>
      </c>
      <c r="B49" s="8" t="s">
        <v>66</v>
      </c>
      <c r="C49" s="8" t="s">
        <v>52</v>
      </c>
      <c r="D49" s="8" t="s">
        <v>53</v>
      </c>
      <c r="E49" s="8" t="s">
        <v>31</v>
      </c>
      <c r="F49" s="8" t="s">
        <v>21</v>
      </c>
      <c r="G49" s="8"/>
    </row>
    <row r="50" spans="1:9" x14ac:dyDescent="0.35">
      <c r="A50">
        <v>44</v>
      </c>
      <c r="B50" s="8" t="s">
        <v>66</v>
      </c>
      <c r="C50" s="8" t="s">
        <v>35</v>
      </c>
      <c r="D50" s="8" t="s">
        <v>36</v>
      </c>
      <c r="E50" s="8" t="s">
        <v>31</v>
      </c>
      <c r="F50" s="8" t="s">
        <v>21</v>
      </c>
      <c r="G50" s="8"/>
    </row>
    <row r="51" spans="1:9" x14ac:dyDescent="0.35">
      <c r="A51">
        <v>44</v>
      </c>
      <c r="B51" s="8" t="s">
        <v>66</v>
      </c>
      <c r="C51" s="8" t="s">
        <v>150</v>
      </c>
      <c r="D51" s="8" t="s">
        <v>47</v>
      </c>
      <c r="E51" s="8" t="s">
        <v>31</v>
      </c>
      <c r="F51" s="8" t="s">
        <v>21</v>
      </c>
      <c r="G51" s="8"/>
    </row>
    <row r="52" spans="1:9" x14ac:dyDescent="0.35">
      <c r="A52">
        <v>44</v>
      </c>
      <c r="B52" s="8" t="s">
        <v>66</v>
      </c>
      <c r="C52" s="8" t="s">
        <v>165</v>
      </c>
      <c r="D52" s="8" t="s">
        <v>8</v>
      </c>
      <c r="E52" s="8" t="s">
        <v>31</v>
      </c>
      <c r="F52" s="8" t="s">
        <v>21</v>
      </c>
      <c r="G52" s="8"/>
    </row>
    <row r="53" spans="1:9" x14ac:dyDescent="0.35">
      <c r="A53">
        <v>44</v>
      </c>
      <c r="B53" s="8" t="s">
        <v>66</v>
      </c>
      <c r="C53" s="8" t="s">
        <v>146</v>
      </c>
      <c r="D53" s="8" t="s">
        <v>13</v>
      </c>
      <c r="E53" s="8" t="s">
        <v>31</v>
      </c>
      <c r="F53" s="8" t="s">
        <v>21</v>
      </c>
      <c r="G53" s="8"/>
    </row>
    <row r="54" spans="1:9" x14ac:dyDescent="0.35">
      <c r="A54" s="2">
        <v>39</v>
      </c>
      <c r="B54" s="2" t="s">
        <v>59</v>
      </c>
      <c r="C54" s="2" t="s">
        <v>52</v>
      </c>
      <c r="D54" s="2" t="s">
        <v>53</v>
      </c>
      <c r="E54" s="2" t="s">
        <v>31</v>
      </c>
      <c r="F54" s="2" t="s">
        <v>26</v>
      </c>
      <c r="G54" s="2"/>
      <c r="I54">
        <v>1</v>
      </c>
    </row>
    <row r="55" spans="1:9" x14ac:dyDescent="0.35">
      <c r="A55" s="2">
        <v>39</v>
      </c>
      <c r="B55" s="2" t="s">
        <v>59</v>
      </c>
      <c r="C55" s="2" t="s">
        <v>35</v>
      </c>
      <c r="D55" s="2" t="s">
        <v>36</v>
      </c>
      <c r="E55" s="2" t="s">
        <v>31</v>
      </c>
      <c r="F55" s="2" t="s">
        <v>26</v>
      </c>
      <c r="G55" s="2"/>
    </row>
    <row r="56" spans="1:9" x14ac:dyDescent="0.35">
      <c r="A56" s="2">
        <v>39</v>
      </c>
      <c r="B56" s="2" t="s">
        <v>59</v>
      </c>
      <c r="C56" s="2" t="s">
        <v>146</v>
      </c>
      <c r="D56" s="2" t="s">
        <v>13</v>
      </c>
      <c r="E56" s="2" t="s">
        <v>31</v>
      </c>
      <c r="F56" s="2" t="s">
        <v>26</v>
      </c>
      <c r="G56" s="2"/>
    </row>
    <row r="57" spans="1:9" x14ac:dyDescent="0.35">
      <c r="A57">
        <v>40</v>
      </c>
      <c r="B57" s="14" t="s">
        <v>61</v>
      </c>
      <c r="C57" s="14" t="s">
        <v>52</v>
      </c>
      <c r="D57" s="14" t="s">
        <v>53</v>
      </c>
      <c r="E57" s="14" t="s">
        <v>31</v>
      </c>
      <c r="F57" s="14" t="s">
        <v>26</v>
      </c>
      <c r="G57" s="14"/>
      <c r="I57">
        <v>1</v>
      </c>
    </row>
    <row r="58" spans="1:9" x14ac:dyDescent="0.35">
      <c r="A58">
        <v>40</v>
      </c>
      <c r="B58" s="14" t="s">
        <v>61</v>
      </c>
      <c r="C58" s="14" t="s">
        <v>35</v>
      </c>
      <c r="D58" s="14" t="s">
        <v>36</v>
      </c>
      <c r="E58" s="14" t="s">
        <v>31</v>
      </c>
      <c r="F58" s="14" t="s">
        <v>26</v>
      </c>
      <c r="G58" s="14"/>
    </row>
    <row r="59" spans="1:9" x14ac:dyDescent="0.35">
      <c r="A59">
        <v>40</v>
      </c>
      <c r="B59" s="14" t="s">
        <v>61</v>
      </c>
      <c r="C59" s="14" t="s">
        <v>146</v>
      </c>
      <c r="D59" s="14" t="s">
        <v>13</v>
      </c>
      <c r="E59" s="14" t="s">
        <v>31</v>
      </c>
      <c r="F59" s="14" t="s">
        <v>26</v>
      </c>
      <c r="G59" s="14"/>
    </row>
    <row r="60" spans="1:9" x14ac:dyDescent="0.35">
      <c r="A60">
        <v>15</v>
      </c>
      <c r="B60" s="11" t="s">
        <v>22</v>
      </c>
      <c r="C60" s="11" t="s">
        <v>23</v>
      </c>
      <c r="D60" s="11" t="s">
        <v>24</v>
      </c>
      <c r="E60" s="11" t="s">
        <v>14</v>
      </c>
      <c r="F60" s="11" t="s">
        <v>15</v>
      </c>
      <c r="G60" s="11"/>
    </row>
    <row r="61" spans="1:9" x14ac:dyDescent="0.35">
      <c r="A61">
        <v>94</v>
      </c>
      <c r="B61" s="15" t="s">
        <v>122</v>
      </c>
      <c r="C61" s="15" t="s">
        <v>23</v>
      </c>
      <c r="D61" s="15" t="s">
        <v>24</v>
      </c>
      <c r="E61" s="15" t="s">
        <v>14</v>
      </c>
      <c r="F61" s="15" t="s">
        <v>15</v>
      </c>
      <c r="G61" s="15"/>
    </row>
    <row r="62" spans="1:9" x14ac:dyDescent="0.35">
      <c r="A62">
        <v>95</v>
      </c>
      <c r="B62" s="5" t="s">
        <v>123</v>
      </c>
      <c r="C62" s="5" t="s">
        <v>23</v>
      </c>
      <c r="D62" s="5" t="s">
        <v>24</v>
      </c>
      <c r="E62" s="5" t="s">
        <v>14</v>
      </c>
      <c r="F62" s="5" t="s">
        <v>15</v>
      </c>
      <c r="G62" s="5"/>
    </row>
    <row r="63" spans="1:9" x14ac:dyDescent="0.35">
      <c r="A63">
        <v>87</v>
      </c>
      <c r="B63" s="15" t="s">
        <v>114</v>
      </c>
      <c r="C63" s="15" t="s">
        <v>23</v>
      </c>
      <c r="D63" s="15" t="s">
        <v>24</v>
      </c>
      <c r="E63" s="15" t="s">
        <v>14</v>
      </c>
      <c r="F63" s="15" t="s">
        <v>15</v>
      </c>
      <c r="G63" s="15"/>
      <c r="I63">
        <v>1</v>
      </c>
    </row>
    <row r="64" spans="1:9" x14ac:dyDescent="0.35">
      <c r="A64">
        <v>87</v>
      </c>
      <c r="B64" s="15" t="s">
        <v>114</v>
      </c>
      <c r="C64" s="15" t="s">
        <v>149</v>
      </c>
      <c r="D64" s="15" t="s">
        <v>13</v>
      </c>
      <c r="E64" s="15" t="s">
        <v>14</v>
      </c>
      <c r="F64" s="15" t="s">
        <v>15</v>
      </c>
      <c r="G64" s="15"/>
    </row>
    <row r="65" spans="1:9" x14ac:dyDescent="0.35">
      <c r="A65">
        <v>87</v>
      </c>
      <c r="B65" s="15" t="s">
        <v>114</v>
      </c>
      <c r="C65" s="15" t="s">
        <v>159</v>
      </c>
      <c r="D65" s="15" t="s">
        <v>69</v>
      </c>
      <c r="E65" s="15" t="s">
        <v>14</v>
      </c>
      <c r="F65" s="15" t="s">
        <v>15</v>
      </c>
      <c r="G65" s="15"/>
    </row>
    <row r="66" spans="1:9" x14ac:dyDescent="0.35">
      <c r="A66">
        <v>88</v>
      </c>
      <c r="B66" s="5" t="s">
        <v>115</v>
      </c>
      <c r="C66" s="5" t="s">
        <v>23</v>
      </c>
      <c r="D66" s="5" t="s">
        <v>24</v>
      </c>
      <c r="E66" s="5" t="s">
        <v>14</v>
      </c>
      <c r="F66" s="5" t="s">
        <v>26</v>
      </c>
      <c r="G66" s="5"/>
      <c r="I66">
        <v>1</v>
      </c>
    </row>
    <row r="67" spans="1:9" x14ac:dyDescent="0.35">
      <c r="A67">
        <v>88</v>
      </c>
      <c r="B67" s="5" t="s">
        <v>115</v>
      </c>
      <c r="C67" s="5" t="s">
        <v>149</v>
      </c>
      <c r="D67" s="5" t="s">
        <v>13</v>
      </c>
      <c r="E67" s="5" t="s">
        <v>14</v>
      </c>
      <c r="F67" s="5" t="s">
        <v>26</v>
      </c>
      <c r="G67" s="5"/>
    </row>
    <row r="68" spans="1:9" x14ac:dyDescent="0.35">
      <c r="A68">
        <v>88</v>
      </c>
      <c r="B68" s="5" t="s">
        <v>115</v>
      </c>
      <c r="C68" s="5" t="s">
        <v>139</v>
      </c>
      <c r="D68" s="5" t="s">
        <v>53</v>
      </c>
      <c r="E68" s="5" t="s">
        <v>14</v>
      </c>
      <c r="F68" s="5" t="s">
        <v>26</v>
      </c>
      <c r="G68" s="5"/>
    </row>
    <row r="69" spans="1:9" x14ac:dyDescent="0.35">
      <c r="A69">
        <v>41</v>
      </c>
      <c r="B69" s="4" t="s">
        <v>62</v>
      </c>
      <c r="C69" s="4" t="s">
        <v>23</v>
      </c>
      <c r="D69" s="4" t="s">
        <v>24</v>
      </c>
      <c r="E69" s="4" t="s">
        <v>14</v>
      </c>
      <c r="F69" s="4" t="s">
        <v>26</v>
      </c>
      <c r="G69" s="4"/>
      <c r="I69">
        <v>1</v>
      </c>
    </row>
    <row r="70" spans="1:9" x14ac:dyDescent="0.35">
      <c r="A70">
        <v>41</v>
      </c>
      <c r="B70" s="4" t="s">
        <v>62</v>
      </c>
      <c r="C70" s="4" t="s">
        <v>139</v>
      </c>
      <c r="D70" s="4" t="s">
        <v>53</v>
      </c>
      <c r="E70" s="4" t="s">
        <v>14</v>
      </c>
      <c r="F70" s="4" t="s">
        <v>26</v>
      </c>
      <c r="G70" s="4"/>
    </row>
    <row r="71" spans="1:9" x14ac:dyDescent="0.35">
      <c r="A71">
        <v>41</v>
      </c>
      <c r="B71" s="4" t="s">
        <v>62</v>
      </c>
      <c r="C71" s="4" t="s">
        <v>159</v>
      </c>
      <c r="D71" s="4" t="s">
        <v>69</v>
      </c>
      <c r="E71" s="4" t="s">
        <v>14</v>
      </c>
      <c r="F71" s="4" t="s">
        <v>26</v>
      </c>
      <c r="G71" s="4"/>
    </row>
    <row r="72" spans="1:9" x14ac:dyDescent="0.35">
      <c r="A72">
        <v>98</v>
      </c>
      <c r="B72" s="8" t="s">
        <v>126</v>
      </c>
      <c r="C72" s="8" t="s">
        <v>23</v>
      </c>
      <c r="D72" s="8" t="s">
        <v>24</v>
      </c>
      <c r="E72" s="8" t="s">
        <v>110</v>
      </c>
      <c r="F72" s="8" t="s">
        <v>10</v>
      </c>
      <c r="G72" s="8"/>
      <c r="I72">
        <v>1</v>
      </c>
    </row>
    <row r="73" spans="1:9" x14ac:dyDescent="0.35">
      <c r="A73">
        <v>98</v>
      </c>
      <c r="B73" s="8" t="s">
        <v>126</v>
      </c>
      <c r="C73" s="8" t="s">
        <v>139</v>
      </c>
      <c r="D73" s="8" t="s">
        <v>53</v>
      </c>
      <c r="E73" s="8" t="s">
        <v>110</v>
      </c>
      <c r="F73" s="8" t="s">
        <v>10</v>
      </c>
      <c r="G73" s="8"/>
    </row>
    <row r="74" spans="1:9" x14ac:dyDescent="0.35">
      <c r="A74">
        <v>98</v>
      </c>
      <c r="B74" s="8" t="s">
        <v>126</v>
      </c>
      <c r="C74" s="8" t="s">
        <v>167</v>
      </c>
      <c r="D74" s="8" t="s">
        <v>47</v>
      </c>
      <c r="E74" s="8" t="s">
        <v>110</v>
      </c>
      <c r="F74" s="8" t="s">
        <v>10</v>
      </c>
      <c r="G74" s="8"/>
    </row>
    <row r="75" spans="1:9" x14ac:dyDescent="0.35">
      <c r="A75">
        <v>65</v>
      </c>
      <c r="B75" s="15" t="s">
        <v>88</v>
      </c>
      <c r="C75" s="15" t="s">
        <v>12</v>
      </c>
      <c r="D75" s="15" t="s">
        <v>13</v>
      </c>
      <c r="E75" s="15" t="s">
        <v>14</v>
      </c>
      <c r="F75" s="15" t="s">
        <v>26</v>
      </c>
      <c r="G75" s="15"/>
      <c r="I75">
        <v>1</v>
      </c>
    </row>
    <row r="76" spans="1:9" x14ac:dyDescent="0.35">
      <c r="A76">
        <v>65</v>
      </c>
      <c r="B76" s="15" t="s">
        <v>88</v>
      </c>
      <c r="C76" s="15" t="s">
        <v>135</v>
      </c>
      <c r="D76" s="15" t="s">
        <v>53</v>
      </c>
      <c r="E76" s="15" t="s">
        <v>14</v>
      </c>
      <c r="F76" s="15" t="s">
        <v>26</v>
      </c>
      <c r="G76" s="15"/>
    </row>
    <row r="77" spans="1:9" x14ac:dyDescent="0.35">
      <c r="A77">
        <v>65</v>
      </c>
      <c r="B77" s="15" t="s">
        <v>88</v>
      </c>
      <c r="C77" s="15" t="s">
        <v>155</v>
      </c>
      <c r="D77" s="15" t="s">
        <v>69</v>
      </c>
      <c r="E77" s="15" t="s">
        <v>14</v>
      </c>
      <c r="F77" s="15" t="s">
        <v>26</v>
      </c>
      <c r="G77" s="15"/>
    </row>
    <row r="78" spans="1:9" x14ac:dyDescent="0.35">
      <c r="A78">
        <v>29</v>
      </c>
      <c r="B78" s="16" t="s">
        <v>43</v>
      </c>
      <c r="C78" s="16" t="s">
        <v>12</v>
      </c>
      <c r="D78" s="16" t="s">
        <v>13</v>
      </c>
      <c r="E78" s="16" t="s">
        <v>14</v>
      </c>
      <c r="F78" s="16" t="s">
        <v>44</v>
      </c>
      <c r="G78" s="16"/>
      <c r="I78">
        <v>1</v>
      </c>
    </row>
    <row r="79" spans="1:9" x14ac:dyDescent="0.35">
      <c r="A79">
        <v>29</v>
      </c>
      <c r="B79" s="16" t="s">
        <v>43</v>
      </c>
      <c r="C79" s="16" t="s">
        <v>136</v>
      </c>
      <c r="D79" s="16" t="s">
        <v>8</v>
      </c>
      <c r="E79" s="16" t="s">
        <v>14</v>
      </c>
      <c r="F79" s="16" t="s">
        <v>44</v>
      </c>
      <c r="G79" s="16"/>
    </row>
    <row r="80" spans="1:9" x14ac:dyDescent="0.35">
      <c r="A80">
        <v>29</v>
      </c>
      <c r="B80" s="16" t="s">
        <v>43</v>
      </c>
      <c r="C80" s="16" t="s">
        <v>155</v>
      </c>
      <c r="D80" s="16" t="s">
        <v>69</v>
      </c>
      <c r="E80" s="16" t="s">
        <v>14</v>
      </c>
      <c r="F80" s="16" t="s">
        <v>44</v>
      </c>
      <c r="G80" s="16"/>
    </row>
    <row r="81" spans="1:9" x14ac:dyDescent="0.35">
      <c r="A81">
        <v>16</v>
      </c>
      <c r="B81" s="14" t="s">
        <v>25</v>
      </c>
      <c r="C81" s="14" t="s">
        <v>12</v>
      </c>
      <c r="D81" s="14" t="s">
        <v>13</v>
      </c>
      <c r="E81" s="14" t="s">
        <v>14</v>
      </c>
      <c r="F81" s="14" t="s">
        <v>26</v>
      </c>
      <c r="G81" s="14"/>
      <c r="I81">
        <v>1</v>
      </c>
    </row>
    <row r="82" spans="1:9" x14ac:dyDescent="0.35">
      <c r="A82">
        <v>16</v>
      </c>
      <c r="B82" s="14" t="s">
        <v>25</v>
      </c>
      <c r="C82" s="14" t="s">
        <v>131</v>
      </c>
      <c r="D82" s="14" t="s">
        <v>69</v>
      </c>
      <c r="E82" s="14" t="s">
        <v>14</v>
      </c>
      <c r="F82" s="14" t="s">
        <v>26</v>
      </c>
      <c r="G82" s="14"/>
    </row>
    <row r="83" spans="1:9" x14ac:dyDescent="0.35">
      <c r="A83">
        <v>16</v>
      </c>
      <c r="B83" s="14" t="s">
        <v>25</v>
      </c>
      <c r="C83" s="14" t="s">
        <v>155</v>
      </c>
      <c r="D83" s="14" t="s">
        <v>69</v>
      </c>
      <c r="E83" s="14" t="s">
        <v>14</v>
      </c>
      <c r="F83" s="14" t="s">
        <v>26</v>
      </c>
      <c r="G83" s="14"/>
    </row>
    <row r="84" spans="1:9" x14ac:dyDescent="0.35">
      <c r="A84">
        <v>23</v>
      </c>
      <c r="B84" s="2" t="s">
        <v>37</v>
      </c>
      <c r="C84" s="2" t="s">
        <v>12</v>
      </c>
      <c r="D84" s="2" t="s">
        <v>13</v>
      </c>
      <c r="E84" s="2" t="s">
        <v>14</v>
      </c>
      <c r="F84" s="2" t="s">
        <v>26</v>
      </c>
      <c r="G84" s="2"/>
      <c r="I84">
        <v>1</v>
      </c>
    </row>
    <row r="85" spans="1:9" x14ac:dyDescent="0.35">
      <c r="A85">
        <v>23</v>
      </c>
      <c r="B85" s="2" t="s">
        <v>37</v>
      </c>
      <c r="C85" s="2" t="s">
        <v>135</v>
      </c>
      <c r="D85" s="2" t="s">
        <v>53</v>
      </c>
      <c r="E85" s="2" t="s">
        <v>14</v>
      </c>
      <c r="F85" s="2" t="s">
        <v>26</v>
      </c>
      <c r="G85" s="2"/>
    </row>
    <row r="86" spans="1:9" x14ac:dyDescent="0.35">
      <c r="A86">
        <v>23</v>
      </c>
      <c r="B86" s="2" t="s">
        <v>37</v>
      </c>
      <c r="C86" s="2" t="s">
        <v>136</v>
      </c>
      <c r="D86" s="2" t="s">
        <v>8</v>
      </c>
      <c r="E86" s="2" t="s">
        <v>14</v>
      </c>
      <c r="F86" s="2" t="s">
        <v>26</v>
      </c>
      <c r="G86" s="2"/>
    </row>
    <row r="87" spans="1:9" x14ac:dyDescent="0.35">
      <c r="A87">
        <v>30</v>
      </c>
      <c r="B87" s="17" t="s">
        <v>48</v>
      </c>
      <c r="C87" s="17" t="s">
        <v>12</v>
      </c>
      <c r="D87" s="17" t="s">
        <v>13</v>
      </c>
      <c r="E87" s="17" t="s">
        <v>14</v>
      </c>
      <c r="F87" s="17" t="s">
        <v>26</v>
      </c>
      <c r="G87" s="17"/>
      <c r="I87">
        <v>1</v>
      </c>
    </row>
    <row r="88" spans="1:9" x14ac:dyDescent="0.35">
      <c r="A88">
        <v>30</v>
      </c>
      <c r="B88" s="17" t="s">
        <v>48</v>
      </c>
      <c r="C88" s="17" t="s">
        <v>135</v>
      </c>
      <c r="D88" s="17" t="s">
        <v>53</v>
      </c>
      <c r="E88" s="17" t="s">
        <v>14</v>
      </c>
      <c r="F88" s="17" t="s">
        <v>26</v>
      </c>
      <c r="G88" s="17"/>
    </row>
    <row r="89" spans="1:9" x14ac:dyDescent="0.35">
      <c r="A89">
        <v>30</v>
      </c>
      <c r="B89" s="17" t="s">
        <v>48</v>
      </c>
      <c r="C89" s="17" t="s">
        <v>155</v>
      </c>
      <c r="D89" s="17" t="s">
        <v>69</v>
      </c>
      <c r="E89" s="17" t="s">
        <v>14</v>
      </c>
      <c r="F89" s="17" t="s">
        <v>26</v>
      </c>
      <c r="G89" s="17"/>
    </row>
    <row r="90" spans="1:9" x14ac:dyDescent="0.35">
      <c r="A90">
        <v>25</v>
      </c>
      <c r="B90" s="9" t="s">
        <v>39</v>
      </c>
      <c r="C90" s="9" t="s">
        <v>12</v>
      </c>
      <c r="D90" s="9" t="s">
        <v>13</v>
      </c>
      <c r="E90" s="9" t="s">
        <v>14</v>
      </c>
      <c r="F90" s="9" t="s">
        <v>15</v>
      </c>
      <c r="G90" s="9"/>
      <c r="I90">
        <v>1</v>
      </c>
    </row>
    <row r="91" spans="1:9" x14ac:dyDescent="0.35">
      <c r="A91">
        <v>25</v>
      </c>
      <c r="B91" s="9" t="s">
        <v>39</v>
      </c>
      <c r="C91" s="9" t="s">
        <v>136</v>
      </c>
      <c r="D91" s="9" t="s">
        <v>8</v>
      </c>
      <c r="E91" s="9" t="s">
        <v>14</v>
      </c>
      <c r="F91" s="9" t="s">
        <v>15</v>
      </c>
      <c r="G91" s="9"/>
    </row>
    <row r="92" spans="1:9" x14ac:dyDescent="0.35">
      <c r="A92">
        <v>25</v>
      </c>
      <c r="B92" s="9" t="s">
        <v>39</v>
      </c>
      <c r="C92" s="9" t="s">
        <v>155</v>
      </c>
      <c r="D92" s="9" t="s">
        <v>69</v>
      </c>
      <c r="E92" s="9" t="s">
        <v>14</v>
      </c>
      <c r="F92" s="9" t="s">
        <v>15</v>
      </c>
      <c r="G92" s="9"/>
    </row>
    <row r="93" spans="1:9" x14ac:dyDescent="0.35">
      <c r="A93">
        <v>31</v>
      </c>
      <c r="B93" s="7" t="s">
        <v>49</v>
      </c>
      <c r="C93" s="7" t="s">
        <v>12</v>
      </c>
      <c r="D93" s="7" t="s">
        <v>13</v>
      </c>
      <c r="E93" s="7" t="s">
        <v>14</v>
      </c>
      <c r="F93" s="7" t="s">
        <v>15</v>
      </c>
      <c r="G93" s="7"/>
    </row>
    <row r="94" spans="1:9" x14ac:dyDescent="0.35">
      <c r="A94">
        <v>32</v>
      </c>
      <c r="B94" s="18" t="s">
        <v>50</v>
      </c>
      <c r="C94" s="18" t="s">
        <v>12</v>
      </c>
      <c r="D94" s="18" t="s">
        <v>13</v>
      </c>
      <c r="E94" s="18" t="s">
        <v>14</v>
      </c>
      <c r="F94" s="18" t="s">
        <v>44</v>
      </c>
      <c r="G94" s="18"/>
      <c r="H94" s="19"/>
    </row>
    <row r="95" spans="1:9" x14ac:dyDescent="0.35">
      <c r="A95">
        <v>81</v>
      </c>
      <c r="B95" s="2" t="s">
        <v>107</v>
      </c>
      <c r="C95" s="2" t="s">
        <v>12</v>
      </c>
      <c r="D95" s="2" t="s">
        <v>13</v>
      </c>
      <c r="E95" s="2" t="s">
        <v>14</v>
      </c>
      <c r="F95" s="2" t="s">
        <v>15</v>
      </c>
      <c r="G95" s="2"/>
      <c r="H95" s="19"/>
    </row>
    <row r="96" spans="1:9" x14ac:dyDescent="0.35">
      <c r="A96">
        <v>66</v>
      </c>
      <c r="B96" s="4" t="s">
        <v>89</v>
      </c>
      <c r="C96" s="4" t="s">
        <v>12</v>
      </c>
      <c r="D96" s="4" t="s">
        <v>13</v>
      </c>
      <c r="E96" s="4" t="s">
        <v>14</v>
      </c>
      <c r="F96" s="4" t="s">
        <v>15</v>
      </c>
      <c r="G96" s="4"/>
      <c r="H96" s="19"/>
      <c r="I96">
        <v>1</v>
      </c>
    </row>
    <row r="97" spans="1:9" x14ac:dyDescent="0.35">
      <c r="A97">
        <v>66</v>
      </c>
      <c r="B97" s="4" t="s">
        <v>89</v>
      </c>
      <c r="C97" s="4" t="s">
        <v>135</v>
      </c>
      <c r="D97" s="4" t="s">
        <v>53</v>
      </c>
      <c r="E97" s="4" t="s">
        <v>14</v>
      </c>
      <c r="F97" s="4" t="s">
        <v>15</v>
      </c>
      <c r="G97" s="4"/>
      <c r="H97" s="19"/>
    </row>
    <row r="98" spans="1:9" x14ac:dyDescent="0.35">
      <c r="A98">
        <v>66</v>
      </c>
      <c r="B98" s="4" t="s">
        <v>89</v>
      </c>
      <c r="C98" s="4" t="s">
        <v>155</v>
      </c>
      <c r="D98" s="4" t="s">
        <v>69</v>
      </c>
      <c r="E98" s="4" t="s">
        <v>14</v>
      </c>
      <c r="F98" s="4" t="s">
        <v>15</v>
      </c>
      <c r="G98" s="4"/>
      <c r="H98" s="19"/>
    </row>
    <row r="99" spans="1:9" x14ac:dyDescent="0.35">
      <c r="A99">
        <v>34</v>
      </c>
      <c r="B99" s="2" t="s">
        <v>54</v>
      </c>
      <c r="C99" s="2" t="s">
        <v>12</v>
      </c>
      <c r="D99" s="2" t="s">
        <v>13</v>
      </c>
      <c r="E99" s="2" t="s">
        <v>14</v>
      </c>
      <c r="F99" s="2" t="s">
        <v>21</v>
      </c>
      <c r="G99" s="2"/>
      <c r="I99">
        <v>1</v>
      </c>
    </row>
    <row r="100" spans="1:9" x14ac:dyDescent="0.35">
      <c r="A100">
        <v>34</v>
      </c>
      <c r="B100" s="2" t="s">
        <v>54</v>
      </c>
      <c r="C100" s="2" t="s">
        <v>135</v>
      </c>
      <c r="D100" s="2" t="s">
        <v>53</v>
      </c>
      <c r="E100" s="2" t="s">
        <v>14</v>
      </c>
      <c r="F100" s="2" t="s">
        <v>21</v>
      </c>
      <c r="G100" s="2"/>
    </row>
    <row r="101" spans="1:9" x14ac:dyDescent="0.35">
      <c r="A101">
        <v>34</v>
      </c>
      <c r="B101" s="2" t="s">
        <v>54</v>
      </c>
      <c r="C101" s="2" t="s">
        <v>136</v>
      </c>
      <c r="D101" s="2" t="s">
        <v>8</v>
      </c>
      <c r="E101" s="2" t="s">
        <v>14</v>
      </c>
      <c r="F101" s="2" t="s">
        <v>21</v>
      </c>
      <c r="G101" s="2"/>
    </row>
    <row r="102" spans="1:9" x14ac:dyDescent="0.35">
      <c r="A102">
        <v>11</v>
      </c>
      <c r="B102" s="8" t="s">
        <v>16</v>
      </c>
      <c r="C102" s="8" t="s">
        <v>12</v>
      </c>
      <c r="D102" s="8" t="s">
        <v>13</v>
      </c>
      <c r="E102" s="8" t="s">
        <v>14</v>
      </c>
      <c r="F102" s="8" t="s">
        <v>15</v>
      </c>
      <c r="G102" s="8"/>
    </row>
    <row r="103" spans="1:9" x14ac:dyDescent="0.35">
      <c r="A103">
        <v>12</v>
      </c>
      <c r="B103" s="15" t="s">
        <v>17</v>
      </c>
      <c r="C103" s="15" t="s">
        <v>12</v>
      </c>
      <c r="D103" s="15" t="s">
        <v>13</v>
      </c>
      <c r="E103" s="15" t="s">
        <v>14</v>
      </c>
      <c r="F103" s="15" t="s">
        <v>15</v>
      </c>
      <c r="G103" s="15"/>
    </row>
    <row r="104" spans="1:9" x14ac:dyDescent="0.35">
      <c r="A104">
        <v>82</v>
      </c>
      <c r="B104" s="16" t="s">
        <v>108</v>
      </c>
      <c r="C104" s="16" t="s">
        <v>12</v>
      </c>
      <c r="D104" s="16" t="s">
        <v>13</v>
      </c>
      <c r="E104" s="16" t="s">
        <v>14</v>
      </c>
      <c r="F104" s="16" t="s">
        <v>15</v>
      </c>
      <c r="G104" s="16"/>
    </row>
    <row r="105" spans="1:9" x14ac:dyDescent="0.35">
      <c r="A105">
        <v>35</v>
      </c>
      <c r="B105" s="14" t="s">
        <v>55</v>
      </c>
      <c r="C105" s="14" t="s">
        <v>12</v>
      </c>
      <c r="D105" s="14" t="s">
        <v>13</v>
      </c>
      <c r="E105" s="14" t="s">
        <v>14</v>
      </c>
      <c r="F105" s="14" t="s">
        <v>15</v>
      </c>
      <c r="G105" s="14"/>
    </row>
    <row r="106" spans="1:9" x14ac:dyDescent="0.35">
      <c r="A106">
        <v>8</v>
      </c>
      <c r="B106" s="20" t="s">
        <v>117</v>
      </c>
      <c r="C106" s="20" t="s">
        <v>12</v>
      </c>
      <c r="D106" s="20" t="s">
        <v>13</v>
      </c>
      <c r="E106" s="20" t="s">
        <v>14</v>
      </c>
      <c r="F106" s="20" t="s">
        <v>15</v>
      </c>
      <c r="G106" s="20"/>
    </row>
    <row r="107" spans="1:9" x14ac:dyDescent="0.35">
      <c r="A107">
        <v>9</v>
      </c>
      <c r="B107" s="14" t="s">
        <v>129</v>
      </c>
      <c r="C107" s="14" t="s">
        <v>12</v>
      </c>
      <c r="D107" s="14" t="s">
        <v>13</v>
      </c>
      <c r="E107" s="14" t="s">
        <v>14</v>
      </c>
      <c r="F107" s="14" t="s">
        <v>15</v>
      </c>
      <c r="G107" s="14"/>
    </row>
    <row r="108" spans="1:9" x14ac:dyDescent="0.35">
      <c r="A108">
        <v>10</v>
      </c>
      <c r="B108" s="17" t="s">
        <v>11</v>
      </c>
      <c r="C108" s="17" t="s">
        <v>12</v>
      </c>
      <c r="D108" s="17" t="s">
        <v>13</v>
      </c>
      <c r="E108" s="17" t="s">
        <v>14</v>
      </c>
      <c r="F108" s="17" t="s">
        <v>15</v>
      </c>
      <c r="G108" s="17"/>
    </row>
    <row r="109" spans="1:9" x14ac:dyDescent="0.35">
      <c r="A109">
        <v>37</v>
      </c>
      <c r="B109" s="14" t="s">
        <v>57</v>
      </c>
      <c r="C109" s="14" t="s">
        <v>12</v>
      </c>
      <c r="D109" s="14" t="s">
        <v>13</v>
      </c>
      <c r="E109" s="14" t="s">
        <v>14</v>
      </c>
      <c r="F109" s="14" t="s">
        <v>15</v>
      </c>
      <c r="G109" s="14"/>
    </row>
    <row r="110" spans="1:9" x14ac:dyDescent="0.35">
      <c r="A110">
        <v>36</v>
      </c>
      <c r="B110" s="17" t="s">
        <v>56</v>
      </c>
      <c r="C110" s="17" t="s">
        <v>12</v>
      </c>
      <c r="D110" s="17" t="s">
        <v>13</v>
      </c>
      <c r="E110" s="17" t="s">
        <v>14</v>
      </c>
      <c r="F110" s="17" t="s">
        <v>15</v>
      </c>
      <c r="G110" s="17"/>
    </row>
    <row r="111" spans="1:9" x14ac:dyDescent="0.35">
      <c r="A111">
        <v>26</v>
      </c>
      <c r="B111" s="6" t="s">
        <v>40</v>
      </c>
      <c r="C111" s="6" t="s">
        <v>12</v>
      </c>
      <c r="D111" s="6" t="s">
        <v>13</v>
      </c>
      <c r="E111" s="6" t="s">
        <v>14</v>
      </c>
      <c r="F111" s="6" t="s">
        <v>26</v>
      </c>
      <c r="G111" s="6"/>
      <c r="I111">
        <v>1</v>
      </c>
    </row>
    <row r="112" spans="1:9" x14ac:dyDescent="0.35">
      <c r="A112">
        <v>26</v>
      </c>
      <c r="B112" s="6" t="s">
        <v>40</v>
      </c>
      <c r="C112" s="6" t="s">
        <v>136</v>
      </c>
      <c r="D112" s="6" t="s">
        <v>8</v>
      </c>
      <c r="E112" s="6" t="s">
        <v>14</v>
      </c>
      <c r="F112" s="6" t="s">
        <v>26</v>
      </c>
      <c r="G112" s="6"/>
    </row>
    <row r="113" spans="1:9" x14ac:dyDescent="0.35">
      <c r="A113">
        <v>26</v>
      </c>
      <c r="B113" s="6" t="s">
        <v>40</v>
      </c>
      <c r="C113" s="6" t="s">
        <v>155</v>
      </c>
      <c r="D113" s="6" t="s">
        <v>69</v>
      </c>
      <c r="E113" s="6" t="s">
        <v>14</v>
      </c>
      <c r="F113" s="6" t="s">
        <v>26</v>
      </c>
      <c r="G113" s="6"/>
    </row>
    <row r="114" spans="1:9" x14ac:dyDescent="0.35">
      <c r="A114">
        <v>83</v>
      </c>
      <c r="B114" s="8" t="s">
        <v>109</v>
      </c>
      <c r="C114" s="8" t="s">
        <v>12</v>
      </c>
      <c r="D114" s="8" t="s">
        <v>13</v>
      </c>
      <c r="E114" s="8" t="s">
        <v>110</v>
      </c>
      <c r="F114" s="8" t="s">
        <v>15</v>
      </c>
      <c r="G114" s="8"/>
    </row>
    <row r="115" spans="1:9" x14ac:dyDescent="0.35">
      <c r="A115">
        <v>59</v>
      </c>
      <c r="B115" s="20" t="s">
        <v>81</v>
      </c>
      <c r="C115" s="20" t="s">
        <v>19</v>
      </c>
      <c r="D115" s="20" t="s">
        <v>13</v>
      </c>
      <c r="E115" s="20" t="s">
        <v>9</v>
      </c>
      <c r="F115" s="20" t="s">
        <v>26</v>
      </c>
      <c r="G115" s="20"/>
      <c r="I115">
        <v>1</v>
      </c>
    </row>
    <row r="116" spans="1:9" x14ac:dyDescent="0.35">
      <c r="A116">
        <v>59</v>
      </c>
      <c r="B116" s="20" t="s">
        <v>81</v>
      </c>
      <c r="C116" s="20" t="s">
        <v>146</v>
      </c>
      <c r="D116" s="20" t="s">
        <v>13</v>
      </c>
      <c r="E116" s="20" t="s">
        <v>9</v>
      </c>
      <c r="F116" s="20" t="s">
        <v>26</v>
      </c>
      <c r="G116" s="20"/>
    </row>
    <row r="117" spans="1:9" x14ac:dyDescent="0.35">
      <c r="A117">
        <v>59</v>
      </c>
      <c r="B117" s="20" t="s">
        <v>81</v>
      </c>
      <c r="C117" s="20" t="s">
        <v>147</v>
      </c>
      <c r="D117" s="20" t="s">
        <v>47</v>
      </c>
      <c r="E117" s="20" t="s">
        <v>9</v>
      </c>
      <c r="F117" s="20" t="s">
        <v>26</v>
      </c>
      <c r="G117" s="20"/>
    </row>
    <row r="118" spans="1:9" x14ac:dyDescent="0.35">
      <c r="A118">
        <v>84</v>
      </c>
      <c r="B118" s="6" t="s">
        <v>111</v>
      </c>
      <c r="C118" s="6" t="s">
        <v>19</v>
      </c>
      <c r="D118" s="6" t="s">
        <v>13</v>
      </c>
      <c r="E118" s="6" t="s">
        <v>9</v>
      </c>
      <c r="F118" s="6" t="s">
        <v>44</v>
      </c>
      <c r="G118" s="6"/>
    </row>
    <row r="119" spans="1:9" x14ac:dyDescent="0.35">
      <c r="A119">
        <v>19</v>
      </c>
      <c r="B119" s="17" t="s">
        <v>28</v>
      </c>
      <c r="C119" s="17" t="s">
        <v>19</v>
      </c>
      <c r="D119" s="17" t="s">
        <v>13</v>
      </c>
      <c r="E119" s="17" t="s">
        <v>9</v>
      </c>
      <c r="F119" s="17" t="s">
        <v>26</v>
      </c>
      <c r="G119" s="17"/>
      <c r="I119">
        <v>1</v>
      </c>
    </row>
    <row r="120" spans="1:9" x14ac:dyDescent="0.35">
      <c r="A120">
        <v>19</v>
      </c>
      <c r="B120" s="17" t="s">
        <v>28</v>
      </c>
      <c r="C120" s="17" t="s">
        <v>133</v>
      </c>
      <c r="D120" s="17" t="s">
        <v>8</v>
      </c>
      <c r="E120" s="17" t="s">
        <v>9</v>
      </c>
      <c r="F120" s="17" t="s">
        <v>26</v>
      </c>
      <c r="G120" s="17"/>
    </row>
    <row r="121" spans="1:9" x14ac:dyDescent="0.35">
      <c r="A121">
        <v>19</v>
      </c>
      <c r="B121" s="17" t="s">
        <v>28</v>
      </c>
      <c r="C121" s="17" t="s">
        <v>147</v>
      </c>
      <c r="D121" s="17" t="s">
        <v>47</v>
      </c>
      <c r="E121" s="17" t="s">
        <v>9</v>
      </c>
      <c r="F121" s="17" t="s">
        <v>26</v>
      </c>
      <c r="G121" s="17"/>
    </row>
    <row r="122" spans="1:9" x14ac:dyDescent="0.35">
      <c r="A122">
        <v>24</v>
      </c>
      <c r="B122" s="2" t="s">
        <v>38</v>
      </c>
      <c r="C122" s="2" t="s">
        <v>19</v>
      </c>
      <c r="D122" s="2" t="s">
        <v>13</v>
      </c>
      <c r="E122" s="2" t="s">
        <v>9</v>
      </c>
      <c r="F122" s="2" t="s">
        <v>15</v>
      </c>
      <c r="G122" s="2"/>
    </row>
    <row r="123" spans="1:9" x14ac:dyDescent="0.35">
      <c r="A123">
        <v>67</v>
      </c>
      <c r="B123" s="20" t="s">
        <v>90</v>
      </c>
      <c r="C123" s="20" t="s">
        <v>46</v>
      </c>
      <c r="D123" s="20" t="s">
        <v>47</v>
      </c>
      <c r="E123" s="20" t="s">
        <v>9</v>
      </c>
      <c r="F123" s="20" t="s">
        <v>26</v>
      </c>
      <c r="G123" s="20"/>
      <c r="I123">
        <v>1</v>
      </c>
    </row>
    <row r="124" spans="1:9" x14ac:dyDescent="0.35">
      <c r="A124">
        <v>67</v>
      </c>
      <c r="B124" s="20" t="s">
        <v>90</v>
      </c>
      <c r="C124" s="20" t="s">
        <v>133</v>
      </c>
      <c r="D124" s="20" t="s">
        <v>8</v>
      </c>
      <c r="E124" s="20" t="s">
        <v>9</v>
      </c>
      <c r="F124" s="20" t="s">
        <v>26</v>
      </c>
      <c r="G124" s="20"/>
    </row>
    <row r="125" spans="1:9" x14ac:dyDescent="0.35">
      <c r="A125">
        <v>67</v>
      </c>
      <c r="B125" s="20" t="s">
        <v>90</v>
      </c>
      <c r="C125" s="20" t="s">
        <v>145</v>
      </c>
      <c r="D125" s="20" t="s">
        <v>69</v>
      </c>
      <c r="E125" s="20" t="s">
        <v>9</v>
      </c>
      <c r="F125" s="20" t="s">
        <v>26</v>
      </c>
      <c r="G125" s="20"/>
    </row>
    <row r="126" spans="1:9" x14ac:dyDescent="0.35">
      <c r="A126">
        <v>2</v>
      </c>
      <c r="B126" s="14" t="s">
        <v>45</v>
      </c>
      <c r="C126" s="14" t="s">
        <v>46</v>
      </c>
      <c r="D126" s="14" t="s">
        <v>47</v>
      </c>
      <c r="E126" s="14" t="s">
        <v>9</v>
      </c>
      <c r="F126" s="14" t="s">
        <v>26</v>
      </c>
      <c r="G126" s="14"/>
      <c r="I126">
        <v>1</v>
      </c>
    </row>
    <row r="127" spans="1:9" x14ac:dyDescent="0.35">
      <c r="A127">
        <v>2</v>
      </c>
      <c r="B127" s="14" t="s">
        <v>45</v>
      </c>
      <c r="C127" s="14" t="s">
        <v>133</v>
      </c>
      <c r="D127" s="14" t="s">
        <v>8</v>
      </c>
      <c r="E127" s="14" t="s">
        <v>9</v>
      </c>
      <c r="F127" s="14" t="s">
        <v>26</v>
      </c>
      <c r="G127" s="14"/>
    </row>
    <row r="128" spans="1:9" x14ac:dyDescent="0.35">
      <c r="A128">
        <v>2</v>
      </c>
      <c r="B128" s="14" t="s">
        <v>45</v>
      </c>
      <c r="C128" s="14" t="s">
        <v>147</v>
      </c>
      <c r="D128" s="14" t="s">
        <v>47</v>
      </c>
      <c r="E128" s="14" t="s">
        <v>9</v>
      </c>
      <c r="F128" s="14" t="s">
        <v>26</v>
      </c>
      <c r="G128" s="14"/>
    </row>
    <row r="129" spans="1:9" x14ac:dyDescent="0.35">
      <c r="A129">
        <v>13</v>
      </c>
      <c r="B129" s="13" t="s">
        <v>18</v>
      </c>
      <c r="C129" s="13" t="s">
        <v>19</v>
      </c>
      <c r="D129" s="13" t="s">
        <v>13</v>
      </c>
      <c r="E129" s="13" t="s">
        <v>9</v>
      </c>
      <c r="F129" s="13" t="s">
        <v>10</v>
      </c>
      <c r="G129" s="13"/>
    </row>
    <row r="130" spans="1:9" x14ac:dyDescent="0.35">
      <c r="A130">
        <v>13</v>
      </c>
      <c r="B130" s="13" t="s">
        <v>18</v>
      </c>
      <c r="C130" s="13" t="s">
        <v>46</v>
      </c>
      <c r="D130" s="13" t="s">
        <v>47</v>
      </c>
      <c r="E130" s="13" t="s">
        <v>9</v>
      </c>
      <c r="F130" s="13" t="s">
        <v>10</v>
      </c>
      <c r="G130" s="13"/>
    </row>
    <row r="131" spans="1:9" x14ac:dyDescent="0.35">
      <c r="A131">
        <v>13</v>
      </c>
      <c r="B131" s="13" t="s">
        <v>18</v>
      </c>
      <c r="C131" s="13" t="s">
        <v>133</v>
      </c>
      <c r="D131" s="13" t="s">
        <v>8</v>
      </c>
      <c r="E131" s="13" t="s">
        <v>9</v>
      </c>
      <c r="F131" s="13" t="s">
        <v>10</v>
      </c>
      <c r="G131" s="13"/>
    </row>
    <row r="132" spans="1:9" x14ac:dyDescent="0.35">
      <c r="A132">
        <v>13</v>
      </c>
      <c r="B132" s="13" t="s">
        <v>18</v>
      </c>
      <c r="C132" s="13" t="s">
        <v>145</v>
      </c>
      <c r="D132" s="13" t="s">
        <v>69</v>
      </c>
      <c r="E132" s="13" t="s">
        <v>9</v>
      </c>
      <c r="F132" s="13" t="s">
        <v>10</v>
      </c>
      <c r="G132" s="13"/>
    </row>
    <row r="133" spans="1:9" x14ac:dyDescent="0.35">
      <c r="A133">
        <v>13</v>
      </c>
      <c r="B133" s="13" t="s">
        <v>18</v>
      </c>
      <c r="C133" s="13" t="s">
        <v>147</v>
      </c>
      <c r="D133" s="13" t="s">
        <v>47</v>
      </c>
      <c r="E133" s="13" t="s">
        <v>9</v>
      </c>
      <c r="F133" s="13" t="s">
        <v>10</v>
      </c>
      <c r="G133" s="13"/>
    </row>
    <row r="134" spans="1:9" x14ac:dyDescent="0.35">
      <c r="A134">
        <v>28</v>
      </c>
      <c r="B134" s="2" t="s">
        <v>42</v>
      </c>
      <c r="C134" s="2" t="s">
        <v>19</v>
      </c>
      <c r="D134" s="2" t="s">
        <v>13</v>
      </c>
      <c r="E134" s="2" t="s">
        <v>9</v>
      </c>
      <c r="F134" s="2" t="s">
        <v>26</v>
      </c>
      <c r="G134" s="2"/>
      <c r="I134">
        <v>1</v>
      </c>
    </row>
    <row r="135" spans="1:9" x14ac:dyDescent="0.35">
      <c r="A135">
        <v>28</v>
      </c>
      <c r="B135" s="2" t="s">
        <v>42</v>
      </c>
      <c r="C135" s="2" t="s">
        <v>138</v>
      </c>
      <c r="D135" s="2" t="s">
        <v>69</v>
      </c>
      <c r="E135" s="2" t="s">
        <v>9</v>
      </c>
      <c r="F135" s="2" t="s">
        <v>26</v>
      </c>
      <c r="G135" s="2"/>
    </row>
    <row r="136" spans="1:9" x14ac:dyDescent="0.35">
      <c r="A136">
        <v>28</v>
      </c>
      <c r="B136" s="2" t="s">
        <v>42</v>
      </c>
      <c r="C136" s="2" t="s">
        <v>145</v>
      </c>
      <c r="D136" s="2" t="s">
        <v>69</v>
      </c>
      <c r="E136" s="2" t="s">
        <v>9</v>
      </c>
      <c r="F136" s="2" t="s">
        <v>26</v>
      </c>
      <c r="G136" s="2"/>
    </row>
    <row r="137" spans="1:9" x14ac:dyDescent="0.35">
      <c r="A137">
        <v>63</v>
      </c>
      <c r="B137" s="3" t="s">
        <v>86</v>
      </c>
      <c r="C137" s="3" t="s">
        <v>19</v>
      </c>
      <c r="D137" s="3" t="s">
        <v>13</v>
      </c>
      <c r="E137" s="3" t="s">
        <v>9</v>
      </c>
      <c r="F137" s="3" t="s">
        <v>26</v>
      </c>
      <c r="G137" s="3"/>
      <c r="I137">
        <v>1</v>
      </c>
    </row>
    <row r="138" spans="1:9" x14ac:dyDescent="0.35">
      <c r="A138">
        <v>63</v>
      </c>
      <c r="B138" s="3" t="s">
        <v>86</v>
      </c>
      <c r="C138" s="3" t="s">
        <v>147</v>
      </c>
      <c r="D138" s="3" t="s">
        <v>47</v>
      </c>
      <c r="E138" s="3" t="s">
        <v>9</v>
      </c>
      <c r="F138" s="3" t="s">
        <v>26</v>
      </c>
      <c r="G138" s="3"/>
    </row>
    <row r="139" spans="1:9" x14ac:dyDescent="0.35">
      <c r="A139">
        <v>63</v>
      </c>
      <c r="B139" s="3" t="s">
        <v>86</v>
      </c>
      <c r="C139" s="3" t="s">
        <v>162</v>
      </c>
      <c r="D139" s="3" t="s">
        <v>13</v>
      </c>
      <c r="E139" s="3" t="s">
        <v>9</v>
      </c>
      <c r="F139" s="3" t="s">
        <v>26</v>
      </c>
      <c r="G139" s="3"/>
    </row>
    <row r="140" spans="1:9" x14ac:dyDescent="0.35">
      <c r="A140">
        <v>60</v>
      </c>
      <c r="B140" s="17" t="s">
        <v>83</v>
      </c>
      <c r="C140" s="17" t="s">
        <v>19</v>
      </c>
      <c r="D140" s="17" t="s">
        <v>13</v>
      </c>
      <c r="E140" s="17" t="s">
        <v>9</v>
      </c>
      <c r="F140" s="17" t="s">
        <v>26</v>
      </c>
      <c r="G140" s="17"/>
      <c r="I140">
        <v>1</v>
      </c>
    </row>
    <row r="141" spans="1:9" x14ac:dyDescent="0.35">
      <c r="A141">
        <v>60</v>
      </c>
      <c r="B141" s="17" t="s">
        <v>83</v>
      </c>
      <c r="C141" s="17" t="s">
        <v>138</v>
      </c>
      <c r="D141" s="17" t="s">
        <v>69</v>
      </c>
      <c r="E141" s="17" t="s">
        <v>9</v>
      </c>
      <c r="F141" s="17" t="s">
        <v>26</v>
      </c>
      <c r="G141" s="17"/>
    </row>
    <row r="142" spans="1:9" x14ac:dyDescent="0.35">
      <c r="A142">
        <v>60</v>
      </c>
      <c r="B142" s="17" t="s">
        <v>83</v>
      </c>
      <c r="C142" s="17" t="s">
        <v>133</v>
      </c>
      <c r="D142" s="17" t="s">
        <v>8</v>
      </c>
      <c r="E142" s="17" t="s">
        <v>9</v>
      </c>
      <c r="F142" s="17" t="s">
        <v>26</v>
      </c>
      <c r="G142" s="17"/>
    </row>
    <row r="143" spans="1:9" x14ac:dyDescent="0.35">
      <c r="A143">
        <v>76</v>
      </c>
      <c r="B143" s="14" t="s">
        <v>100</v>
      </c>
      <c r="C143" s="14" t="s">
        <v>19</v>
      </c>
      <c r="D143" s="14" t="s">
        <v>13</v>
      </c>
      <c r="E143" s="14" t="s">
        <v>9</v>
      </c>
      <c r="F143" s="14" t="s">
        <v>10</v>
      </c>
      <c r="G143" s="14"/>
    </row>
    <row r="144" spans="1:9" x14ac:dyDescent="0.35">
      <c r="A144">
        <v>76</v>
      </c>
      <c r="B144" s="14" t="s">
        <v>100</v>
      </c>
      <c r="C144" s="14" t="s">
        <v>46</v>
      </c>
      <c r="D144" s="14" t="s">
        <v>47</v>
      </c>
      <c r="E144" s="14" t="s">
        <v>9</v>
      </c>
      <c r="F144" s="14" t="s">
        <v>10</v>
      </c>
      <c r="G144" s="14"/>
    </row>
    <row r="145" spans="1:9" x14ac:dyDescent="0.35">
      <c r="A145">
        <v>76</v>
      </c>
      <c r="B145" s="14" t="s">
        <v>100</v>
      </c>
      <c r="C145" s="14" t="s">
        <v>133</v>
      </c>
      <c r="D145" s="14" t="s">
        <v>8</v>
      </c>
      <c r="E145" s="14" t="s">
        <v>9</v>
      </c>
      <c r="F145" s="14" t="s">
        <v>10</v>
      </c>
      <c r="G145" s="14"/>
    </row>
    <row r="146" spans="1:9" x14ac:dyDescent="0.35">
      <c r="A146">
        <v>76</v>
      </c>
      <c r="B146" s="14" t="s">
        <v>100</v>
      </c>
      <c r="C146" s="14" t="s">
        <v>145</v>
      </c>
      <c r="D146" s="14" t="s">
        <v>69</v>
      </c>
      <c r="E146" s="14" t="s">
        <v>9</v>
      </c>
      <c r="F146" s="14" t="s">
        <v>10</v>
      </c>
      <c r="G146" s="14"/>
    </row>
    <row r="147" spans="1:9" x14ac:dyDescent="0.35">
      <c r="A147">
        <v>76</v>
      </c>
      <c r="B147" s="14" t="s">
        <v>100</v>
      </c>
      <c r="C147" s="14" t="s">
        <v>147</v>
      </c>
      <c r="D147" s="14" t="s">
        <v>47</v>
      </c>
      <c r="E147" s="14" t="s">
        <v>9</v>
      </c>
      <c r="F147" s="14" t="s">
        <v>10</v>
      </c>
      <c r="G147" s="14"/>
    </row>
    <row r="148" spans="1:9" x14ac:dyDescent="0.35">
      <c r="A148">
        <v>18</v>
      </c>
      <c r="B148" s="17" t="s">
        <v>27</v>
      </c>
      <c r="C148" s="17" t="s">
        <v>19</v>
      </c>
      <c r="D148" s="17" t="s">
        <v>13</v>
      </c>
      <c r="E148" s="17" t="s">
        <v>9</v>
      </c>
      <c r="F148" s="17" t="s">
        <v>26</v>
      </c>
      <c r="G148" s="17"/>
      <c r="I148">
        <v>1</v>
      </c>
    </row>
    <row r="149" spans="1:9" x14ac:dyDescent="0.35">
      <c r="A149">
        <v>18</v>
      </c>
      <c r="B149" s="17" t="s">
        <v>27</v>
      </c>
      <c r="C149" s="17" t="s">
        <v>133</v>
      </c>
      <c r="D149" s="17" t="s">
        <v>8</v>
      </c>
      <c r="E149" s="17" t="s">
        <v>9</v>
      </c>
      <c r="F149" s="17" t="s">
        <v>26</v>
      </c>
      <c r="G149" s="17"/>
    </row>
    <row r="150" spans="1:9" x14ac:dyDescent="0.35">
      <c r="A150">
        <v>18</v>
      </c>
      <c r="B150" s="17" t="s">
        <v>27</v>
      </c>
      <c r="C150" s="17" t="s">
        <v>147</v>
      </c>
      <c r="D150" s="17" t="s">
        <v>47</v>
      </c>
      <c r="E150" s="17" t="s">
        <v>9</v>
      </c>
      <c r="F150" s="17" t="s">
        <v>26</v>
      </c>
      <c r="G150" s="17"/>
    </row>
    <row r="151" spans="1:9" x14ac:dyDescent="0.35">
      <c r="A151">
        <v>47</v>
      </c>
      <c r="B151" s="7" t="s">
        <v>71</v>
      </c>
      <c r="C151" s="7" t="s">
        <v>19</v>
      </c>
      <c r="D151" s="7" t="s">
        <v>13</v>
      </c>
      <c r="E151" s="7" t="s">
        <v>9</v>
      </c>
      <c r="F151" s="7" t="s">
        <v>26</v>
      </c>
      <c r="G151" s="7"/>
      <c r="I151">
        <v>1</v>
      </c>
    </row>
    <row r="152" spans="1:9" x14ac:dyDescent="0.35">
      <c r="A152">
        <v>47</v>
      </c>
      <c r="B152" s="7" t="s">
        <v>71</v>
      </c>
      <c r="C152" s="7" t="s">
        <v>46</v>
      </c>
      <c r="D152" s="7" t="s">
        <v>47</v>
      </c>
      <c r="E152" s="7" t="s">
        <v>9</v>
      </c>
      <c r="F152" s="7" t="s">
        <v>26</v>
      </c>
      <c r="G152" s="7"/>
    </row>
    <row r="153" spans="1:9" x14ac:dyDescent="0.35">
      <c r="A153">
        <v>47</v>
      </c>
      <c r="B153" s="7" t="s">
        <v>71</v>
      </c>
      <c r="C153" s="7" t="s">
        <v>145</v>
      </c>
      <c r="D153" s="7" t="s">
        <v>69</v>
      </c>
      <c r="E153" s="7" t="s">
        <v>9</v>
      </c>
      <c r="F153" s="7" t="s">
        <v>26</v>
      </c>
      <c r="G153" s="7"/>
    </row>
    <row r="154" spans="1:9" x14ac:dyDescent="0.35">
      <c r="A154">
        <v>48</v>
      </c>
      <c r="B154" s="17" t="s">
        <v>72</v>
      </c>
      <c r="C154" s="17" t="s">
        <v>19</v>
      </c>
      <c r="D154" s="17" t="s">
        <v>13</v>
      </c>
      <c r="E154" s="17" t="s">
        <v>9</v>
      </c>
      <c r="F154" s="17" t="s">
        <v>26</v>
      </c>
      <c r="G154" s="17"/>
    </row>
    <row r="155" spans="1:9" x14ac:dyDescent="0.35">
      <c r="A155">
        <v>48</v>
      </c>
      <c r="B155" s="17" t="s">
        <v>72</v>
      </c>
      <c r="C155" s="17" t="s">
        <v>46</v>
      </c>
      <c r="D155" s="17" t="s">
        <v>47</v>
      </c>
      <c r="E155" s="17" t="s">
        <v>9</v>
      </c>
      <c r="F155" s="17" t="s">
        <v>26</v>
      </c>
      <c r="G155" s="17"/>
    </row>
    <row r="156" spans="1:9" x14ac:dyDescent="0.35">
      <c r="A156">
        <v>48</v>
      </c>
      <c r="B156" s="17" t="s">
        <v>72</v>
      </c>
      <c r="C156" s="17" t="s">
        <v>133</v>
      </c>
      <c r="D156" s="17" t="s">
        <v>8</v>
      </c>
      <c r="E156" s="17" t="s">
        <v>9</v>
      </c>
      <c r="F156" s="17" t="s">
        <v>26</v>
      </c>
      <c r="G156" s="17"/>
    </row>
    <row r="157" spans="1:9" x14ac:dyDescent="0.35">
      <c r="A157">
        <v>48</v>
      </c>
      <c r="B157" s="17" t="s">
        <v>72</v>
      </c>
      <c r="C157" s="17" t="s">
        <v>145</v>
      </c>
      <c r="D157" s="17" t="s">
        <v>69</v>
      </c>
      <c r="E157" s="17" t="s">
        <v>9</v>
      </c>
      <c r="F157" s="17" t="s">
        <v>26</v>
      </c>
      <c r="G157" s="17"/>
    </row>
    <row r="158" spans="1:9" x14ac:dyDescent="0.35">
      <c r="A158">
        <v>48</v>
      </c>
      <c r="B158" s="17" t="s">
        <v>72</v>
      </c>
      <c r="C158" s="17" t="s">
        <v>147</v>
      </c>
      <c r="D158" s="17" t="s">
        <v>47</v>
      </c>
      <c r="E158" s="17" t="s">
        <v>9</v>
      </c>
      <c r="F158" s="17" t="s">
        <v>26</v>
      </c>
      <c r="G158" s="17"/>
    </row>
    <row r="159" spans="1:9" x14ac:dyDescent="0.35">
      <c r="A159">
        <v>90</v>
      </c>
      <c r="B159" s="8" t="s">
        <v>118</v>
      </c>
      <c r="C159" s="8" t="s">
        <v>19</v>
      </c>
      <c r="D159" s="8" t="s">
        <v>13</v>
      </c>
      <c r="E159" s="8" t="s">
        <v>9</v>
      </c>
      <c r="F159" s="8" t="s">
        <v>26</v>
      </c>
      <c r="G159" s="8"/>
      <c r="I159">
        <v>1</v>
      </c>
    </row>
    <row r="160" spans="1:9" x14ac:dyDescent="0.35">
      <c r="A160">
        <v>90</v>
      </c>
      <c r="B160" s="8" t="s">
        <v>118</v>
      </c>
      <c r="C160" s="8" t="s">
        <v>145</v>
      </c>
      <c r="D160" s="8" t="s">
        <v>69</v>
      </c>
      <c r="E160" s="8" t="s">
        <v>9</v>
      </c>
      <c r="F160" s="8" t="s">
        <v>26</v>
      </c>
      <c r="G160" s="8"/>
    </row>
    <row r="161" spans="1:9" x14ac:dyDescent="0.35">
      <c r="A161">
        <v>90</v>
      </c>
      <c r="B161" s="8" t="s">
        <v>118</v>
      </c>
      <c r="C161" s="8" t="s">
        <v>147</v>
      </c>
      <c r="D161" s="8" t="s">
        <v>47</v>
      </c>
      <c r="E161" s="8" t="s">
        <v>9</v>
      </c>
      <c r="F161" s="8" t="s">
        <v>26</v>
      </c>
      <c r="G161" s="8"/>
    </row>
    <row r="162" spans="1:9" x14ac:dyDescent="0.35">
      <c r="A162">
        <v>57</v>
      </c>
      <c r="B162" s="16" t="s">
        <v>79</v>
      </c>
      <c r="C162" s="16" t="s">
        <v>46</v>
      </c>
      <c r="D162" s="16" t="s">
        <v>47</v>
      </c>
      <c r="E162" s="16" t="s">
        <v>9</v>
      </c>
      <c r="F162" s="16" t="s">
        <v>26</v>
      </c>
      <c r="G162" s="16"/>
      <c r="I162">
        <v>1</v>
      </c>
    </row>
    <row r="163" spans="1:9" x14ac:dyDescent="0.35">
      <c r="A163">
        <v>57</v>
      </c>
      <c r="B163" s="16" t="s">
        <v>79</v>
      </c>
      <c r="C163" s="16" t="s">
        <v>145</v>
      </c>
      <c r="D163" s="16" t="s">
        <v>69</v>
      </c>
      <c r="E163" s="16" t="s">
        <v>9</v>
      </c>
      <c r="F163" s="16" t="s">
        <v>26</v>
      </c>
      <c r="G163" s="16"/>
    </row>
    <row r="164" spans="1:9" x14ac:dyDescent="0.35">
      <c r="A164">
        <v>57</v>
      </c>
      <c r="B164" s="16" t="s">
        <v>79</v>
      </c>
      <c r="C164" s="16" t="s">
        <v>161</v>
      </c>
      <c r="D164" s="16" t="s">
        <v>8</v>
      </c>
      <c r="E164" s="16" t="s">
        <v>9</v>
      </c>
      <c r="F164" s="16" t="s">
        <v>26</v>
      </c>
      <c r="G164" s="16"/>
    </row>
    <row r="165" spans="1:9" x14ac:dyDescent="0.35">
      <c r="A165">
        <v>61</v>
      </c>
      <c r="B165" s="18" t="s">
        <v>84</v>
      </c>
      <c r="C165" s="18" t="s">
        <v>19</v>
      </c>
      <c r="D165" s="18" t="s">
        <v>13</v>
      </c>
      <c r="E165" s="18" t="s">
        <v>9</v>
      </c>
      <c r="F165" s="18" t="s">
        <v>26</v>
      </c>
      <c r="G165" s="18"/>
      <c r="I165">
        <v>1</v>
      </c>
    </row>
    <row r="166" spans="1:9" x14ac:dyDescent="0.35">
      <c r="A166">
        <v>61</v>
      </c>
      <c r="B166" s="18" t="s">
        <v>84</v>
      </c>
      <c r="C166" s="18" t="s">
        <v>145</v>
      </c>
      <c r="D166" s="18" t="s">
        <v>69</v>
      </c>
      <c r="E166" s="18" t="s">
        <v>9</v>
      </c>
      <c r="F166" s="18" t="s">
        <v>26</v>
      </c>
      <c r="G166" s="18"/>
    </row>
    <row r="167" spans="1:9" x14ac:dyDescent="0.35">
      <c r="A167">
        <v>61</v>
      </c>
      <c r="B167" s="18" t="s">
        <v>84</v>
      </c>
      <c r="C167" s="18" t="s">
        <v>162</v>
      </c>
      <c r="D167" s="18" t="s">
        <v>13</v>
      </c>
      <c r="E167" s="18" t="s">
        <v>9</v>
      </c>
      <c r="F167" s="18" t="s">
        <v>26</v>
      </c>
      <c r="G167" s="18"/>
    </row>
    <row r="168" spans="1:9" x14ac:dyDescent="0.35">
      <c r="A168">
        <v>70</v>
      </c>
      <c r="B168" s="2" t="s">
        <v>94</v>
      </c>
      <c r="C168" s="2" t="s">
        <v>19</v>
      </c>
      <c r="D168" s="2" t="s">
        <v>13</v>
      </c>
      <c r="E168" s="2" t="s">
        <v>9</v>
      </c>
      <c r="F168" s="2" t="s">
        <v>21</v>
      </c>
      <c r="G168" s="2"/>
      <c r="I168">
        <v>1</v>
      </c>
    </row>
    <row r="169" spans="1:9" x14ac:dyDescent="0.35">
      <c r="A169">
        <v>70</v>
      </c>
      <c r="B169" s="2" t="s">
        <v>94</v>
      </c>
      <c r="C169" s="2" t="s">
        <v>35</v>
      </c>
      <c r="D169" s="2" t="s">
        <v>36</v>
      </c>
      <c r="E169" s="2" t="s">
        <v>9</v>
      </c>
      <c r="F169" s="2" t="s">
        <v>21</v>
      </c>
      <c r="G169" s="2"/>
    </row>
    <row r="170" spans="1:9" x14ac:dyDescent="0.35">
      <c r="A170">
        <v>70</v>
      </c>
      <c r="B170" s="2" t="s">
        <v>94</v>
      </c>
      <c r="C170" s="2" t="s">
        <v>133</v>
      </c>
      <c r="D170" s="2" t="s">
        <v>8</v>
      </c>
      <c r="E170" s="2" t="s">
        <v>9</v>
      </c>
      <c r="F170" s="2" t="s">
        <v>21</v>
      </c>
      <c r="G170" s="2"/>
    </row>
    <row r="171" spans="1:9" x14ac:dyDescent="0.35">
      <c r="A171">
        <v>20</v>
      </c>
      <c r="B171" s="3" t="s">
        <v>32</v>
      </c>
      <c r="C171" s="3" t="s">
        <v>19</v>
      </c>
      <c r="D171" s="3" t="s">
        <v>13</v>
      </c>
      <c r="E171" s="3" t="s">
        <v>9</v>
      </c>
      <c r="F171" s="3" t="s">
        <v>26</v>
      </c>
      <c r="G171" s="3"/>
      <c r="I171">
        <v>1</v>
      </c>
    </row>
    <row r="172" spans="1:9" x14ac:dyDescent="0.35">
      <c r="A172">
        <v>20</v>
      </c>
      <c r="B172" s="3" t="s">
        <v>32</v>
      </c>
      <c r="C172" s="3" t="s">
        <v>35</v>
      </c>
      <c r="D172" s="3" t="s">
        <v>36</v>
      </c>
      <c r="E172" s="3" t="s">
        <v>9</v>
      </c>
      <c r="F172" s="3" t="s">
        <v>26</v>
      </c>
      <c r="G172" s="3"/>
    </row>
    <row r="173" spans="1:9" x14ac:dyDescent="0.35">
      <c r="A173">
        <v>20</v>
      </c>
      <c r="B173" s="3" t="s">
        <v>32</v>
      </c>
      <c r="C173" s="3" t="s">
        <v>145</v>
      </c>
      <c r="D173" s="3" t="s">
        <v>69</v>
      </c>
      <c r="E173" s="3" t="s">
        <v>9</v>
      </c>
      <c r="F173" s="3" t="s">
        <v>26</v>
      </c>
      <c r="G173" s="3"/>
    </row>
    <row r="174" spans="1:9" x14ac:dyDescent="0.35">
      <c r="A174">
        <v>3</v>
      </c>
      <c r="B174" s="7" t="s">
        <v>60</v>
      </c>
      <c r="C174" s="7" t="s">
        <v>19</v>
      </c>
      <c r="D174" s="7" t="s">
        <v>13</v>
      </c>
      <c r="E174" s="7" t="s">
        <v>9</v>
      </c>
      <c r="F174" s="7" t="s">
        <v>26</v>
      </c>
      <c r="G174" s="7"/>
      <c r="I174">
        <v>1</v>
      </c>
    </row>
    <row r="175" spans="1:9" x14ac:dyDescent="0.35">
      <c r="A175">
        <v>3</v>
      </c>
      <c r="B175" s="7" t="s">
        <v>60</v>
      </c>
      <c r="C175" s="7" t="s">
        <v>138</v>
      </c>
      <c r="D175" s="7" t="s">
        <v>69</v>
      </c>
      <c r="E175" s="7" t="s">
        <v>9</v>
      </c>
      <c r="F175" s="7" t="s">
        <v>26</v>
      </c>
      <c r="G175" s="7"/>
    </row>
    <row r="176" spans="1:9" x14ac:dyDescent="0.35">
      <c r="A176">
        <v>3</v>
      </c>
      <c r="B176" s="7" t="s">
        <v>60</v>
      </c>
      <c r="C176" s="7" t="s">
        <v>147</v>
      </c>
      <c r="D176" s="7" t="s">
        <v>47</v>
      </c>
      <c r="E176" s="7" t="s">
        <v>9</v>
      </c>
      <c r="F176" s="7" t="s">
        <v>26</v>
      </c>
      <c r="G176" s="7"/>
    </row>
    <row r="177" spans="1:9" x14ac:dyDescent="0.35">
      <c r="A177">
        <v>62</v>
      </c>
      <c r="B177" s="15" t="s">
        <v>85</v>
      </c>
      <c r="C177" s="15" t="s">
        <v>19</v>
      </c>
      <c r="D177" s="15" t="s">
        <v>13</v>
      </c>
      <c r="E177" s="15" t="s">
        <v>9</v>
      </c>
      <c r="F177" s="15" t="s">
        <v>21</v>
      </c>
      <c r="G177" s="15"/>
      <c r="I177">
        <v>1</v>
      </c>
    </row>
    <row r="178" spans="1:9" x14ac:dyDescent="0.35">
      <c r="A178">
        <v>62</v>
      </c>
      <c r="B178" s="15" t="s">
        <v>85</v>
      </c>
      <c r="C178" s="15" t="s">
        <v>35</v>
      </c>
      <c r="D178" s="15" t="s">
        <v>36</v>
      </c>
      <c r="E178" s="15" t="s">
        <v>9</v>
      </c>
      <c r="F178" s="15" t="s">
        <v>21</v>
      </c>
      <c r="G178" s="15"/>
    </row>
    <row r="179" spans="1:9" x14ac:dyDescent="0.35">
      <c r="A179">
        <v>62</v>
      </c>
      <c r="B179" s="15" t="s">
        <v>85</v>
      </c>
      <c r="C179" s="15" t="s">
        <v>133</v>
      </c>
      <c r="D179" s="15" t="s">
        <v>8</v>
      </c>
      <c r="E179" s="15" t="s">
        <v>9</v>
      </c>
      <c r="F179" s="15" t="s">
        <v>21</v>
      </c>
      <c r="G179" s="15"/>
    </row>
    <row r="180" spans="1:9" x14ac:dyDescent="0.35">
      <c r="A180">
        <v>68</v>
      </c>
      <c r="B180" s="17" t="s">
        <v>91</v>
      </c>
      <c r="C180" s="17" t="s">
        <v>7</v>
      </c>
      <c r="D180" s="17" t="s">
        <v>8</v>
      </c>
      <c r="E180" s="17" t="s">
        <v>9</v>
      </c>
      <c r="F180" s="17" t="s">
        <v>26</v>
      </c>
      <c r="G180" s="17"/>
      <c r="I180">
        <v>1</v>
      </c>
    </row>
    <row r="181" spans="1:9" x14ac:dyDescent="0.35">
      <c r="A181">
        <v>68</v>
      </c>
      <c r="B181" s="17" t="s">
        <v>91</v>
      </c>
      <c r="C181" s="17" t="s">
        <v>128</v>
      </c>
      <c r="D181" s="17" t="s">
        <v>8</v>
      </c>
      <c r="E181" s="17" t="s">
        <v>9</v>
      </c>
      <c r="F181" s="17" t="s">
        <v>26</v>
      </c>
      <c r="G181" s="17"/>
    </row>
    <row r="182" spans="1:9" x14ac:dyDescent="0.35">
      <c r="A182">
        <v>68</v>
      </c>
      <c r="B182" s="17" t="s">
        <v>91</v>
      </c>
      <c r="C182" s="17" t="s">
        <v>130</v>
      </c>
      <c r="D182" s="17" t="s">
        <v>53</v>
      </c>
      <c r="E182" s="17" t="s">
        <v>9</v>
      </c>
      <c r="F182" s="17" t="s">
        <v>26</v>
      </c>
      <c r="G182" s="17"/>
    </row>
    <row r="183" spans="1:9" x14ac:dyDescent="0.35">
      <c r="A183">
        <v>64</v>
      </c>
      <c r="B183" s="4" t="s">
        <v>87</v>
      </c>
      <c r="C183" s="4" t="s">
        <v>7</v>
      </c>
      <c r="D183" s="4" t="s">
        <v>8</v>
      </c>
      <c r="E183" s="4" t="s">
        <v>9</v>
      </c>
      <c r="F183" s="4" t="s">
        <v>26</v>
      </c>
      <c r="G183" s="4"/>
      <c r="I183">
        <v>1</v>
      </c>
    </row>
    <row r="184" spans="1:9" x14ac:dyDescent="0.35">
      <c r="A184">
        <v>64</v>
      </c>
      <c r="B184" s="4" t="s">
        <v>87</v>
      </c>
      <c r="C184" s="4" t="s">
        <v>130</v>
      </c>
      <c r="D184" s="4" t="s">
        <v>53</v>
      </c>
      <c r="E184" s="4" t="s">
        <v>9</v>
      </c>
      <c r="F184" s="4" t="s">
        <v>26</v>
      </c>
      <c r="G184" s="4"/>
    </row>
    <row r="185" spans="1:9" x14ac:dyDescent="0.35">
      <c r="A185">
        <v>64</v>
      </c>
      <c r="B185" s="4" t="s">
        <v>87</v>
      </c>
      <c r="C185" s="4" t="s">
        <v>154</v>
      </c>
      <c r="D185" s="4" t="s">
        <v>47</v>
      </c>
      <c r="E185" s="4" t="s">
        <v>9</v>
      </c>
      <c r="F185" s="4" t="s">
        <v>26</v>
      </c>
      <c r="G185" s="4"/>
    </row>
    <row r="186" spans="1:9" x14ac:dyDescent="0.35">
      <c r="A186">
        <v>21</v>
      </c>
      <c r="B186" s="2" t="s">
        <v>33</v>
      </c>
      <c r="C186" s="2" t="s">
        <v>7</v>
      </c>
      <c r="D186" s="2" t="s">
        <v>8</v>
      </c>
      <c r="E186" s="2" t="s">
        <v>9</v>
      </c>
      <c r="F186" s="2" t="s">
        <v>26</v>
      </c>
      <c r="G186" s="2"/>
      <c r="I186">
        <v>1</v>
      </c>
    </row>
    <row r="187" spans="1:9" x14ac:dyDescent="0.35">
      <c r="A187">
        <v>21</v>
      </c>
      <c r="B187" s="2" t="s">
        <v>33</v>
      </c>
      <c r="C187" s="2" t="s">
        <v>134</v>
      </c>
      <c r="D187" s="2" t="s">
        <v>69</v>
      </c>
      <c r="E187" s="2" t="s">
        <v>9</v>
      </c>
      <c r="F187" s="2" t="s">
        <v>26</v>
      </c>
      <c r="G187" s="2"/>
    </row>
    <row r="188" spans="1:9" x14ac:dyDescent="0.35">
      <c r="A188">
        <v>21</v>
      </c>
      <c r="B188" s="2" t="s">
        <v>33</v>
      </c>
      <c r="C188" s="2" t="s">
        <v>158</v>
      </c>
      <c r="D188" s="2" t="s">
        <v>69</v>
      </c>
      <c r="E188" s="2" t="s">
        <v>9</v>
      </c>
      <c r="F188" s="2" t="s">
        <v>26</v>
      </c>
      <c r="G188" s="2"/>
    </row>
    <row r="189" spans="1:9" x14ac:dyDescent="0.35">
      <c r="A189">
        <v>99</v>
      </c>
      <c r="B189" s="20" t="s">
        <v>127</v>
      </c>
      <c r="C189" s="20" t="s">
        <v>128</v>
      </c>
      <c r="D189" s="20" t="s">
        <v>8</v>
      </c>
      <c r="E189" s="20" t="s">
        <v>9</v>
      </c>
      <c r="F189" s="20" t="s">
        <v>26</v>
      </c>
      <c r="G189" s="20"/>
      <c r="I189">
        <v>1</v>
      </c>
    </row>
    <row r="190" spans="1:9" x14ac:dyDescent="0.35">
      <c r="A190">
        <v>99</v>
      </c>
      <c r="B190" s="20" t="s">
        <v>127</v>
      </c>
      <c r="C190" s="20" t="s">
        <v>130</v>
      </c>
      <c r="D190" s="20" t="s">
        <v>53</v>
      </c>
      <c r="E190" s="20" t="s">
        <v>9</v>
      </c>
      <c r="F190" s="20" t="s">
        <v>26</v>
      </c>
      <c r="G190" s="20"/>
    </row>
    <row r="191" spans="1:9" x14ac:dyDescent="0.35">
      <c r="A191">
        <v>99</v>
      </c>
      <c r="B191" s="20" t="s">
        <v>127</v>
      </c>
      <c r="C191" s="20" t="s">
        <v>154</v>
      </c>
      <c r="D191" s="20" t="s">
        <v>47</v>
      </c>
      <c r="E191" s="20" t="s">
        <v>9</v>
      </c>
      <c r="F191" s="20" t="s">
        <v>26</v>
      </c>
      <c r="G191" s="20"/>
    </row>
    <row r="192" spans="1:9" x14ac:dyDescent="0.35">
      <c r="A192">
        <v>74</v>
      </c>
      <c r="B192" s="18" t="s">
        <v>98</v>
      </c>
      <c r="C192" s="18" t="s">
        <v>7</v>
      </c>
      <c r="D192" s="18" t="s">
        <v>8</v>
      </c>
      <c r="E192" s="18" t="s">
        <v>9</v>
      </c>
      <c r="F192" s="18" t="s">
        <v>10</v>
      </c>
      <c r="G192" s="18"/>
      <c r="I192">
        <v>1</v>
      </c>
    </row>
    <row r="193" spans="1:9" x14ac:dyDescent="0.35">
      <c r="A193">
        <v>74</v>
      </c>
      <c r="B193" s="18" t="s">
        <v>98</v>
      </c>
      <c r="C193" s="18" t="s">
        <v>130</v>
      </c>
      <c r="D193" s="18" t="s">
        <v>53</v>
      </c>
      <c r="E193" s="18" t="s">
        <v>9</v>
      </c>
      <c r="F193" s="18" t="s">
        <v>10</v>
      </c>
      <c r="G193" s="18"/>
    </row>
    <row r="194" spans="1:9" x14ac:dyDescent="0.35">
      <c r="A194">
        <v>74</v>
      </c>
      <c r="B194" s="18" t="s">
        <v>98</v>
      </c>
      <c r="C194" s="18" t="s">
        <v>154</v>
      </c>
      <c r="D194" s="18" t="s">
        <v>47</v>
      </c>
      <c r="E194" s="18" t="s">
        <v>9</v>
      </c>
      <c r="F194" s="18" t="s">
        <v>10</v>
      </c>
      <c r="G194" s="18"/>
    </row>
    <row r="195" spans="1:9" x14ac:dyDescent="0.35">
      <c r="A195">
        <v>77</v>
      </c>
      <c r="B195" s="21" t="s">
        <v>101</v>
      </c>
      <c r="C195" s="21" t="s">
        <v>7</v>
      </c>
      <c r="D195" s="21" t="s">
        <v>8</v>
      </c>
      <c r="E195" s="21" t="s">
        <v>9</v>
      </c>
      <c r="F195" s="21" t="s">
        <v>15</v>
      </c>
      <c r="G195" s="21"/>
    </row>
    <row r="196" spans="1:9" x14ac:dyDescent="0.35">
      <c r="A196">
        <v>100</v>
      </c>
      <c r="B196" s="3" t="s">
        <v>6</v>
      </c>
      <c r="C196" s="3" t="s">
        <v>7</v>
      </c>
      <c r="D196" s="3" t="s">
        <v>8</v>
      </c>
      <c r="E196" s="3" t="s">
        <v>9</v>
      </c>
      <c r="F196" s="3" t="s">
        <v>10</v>
      </c>
      <c r="G196" s="3"/>
      <c r="I196">
        <v>1</v>
      </c>
    </row>
    <row r="197" spans="1:9" x14ac:dyDescent="0.35">
      <c r="A197">
        <v>100</v>
      </c>
      <c r="B197" s="3" t="s">
        <v>6</v>
      </c>
      <c r="C197" s="3" t="s">
        <v>130</v>
      </c>
      <c r="D197" s="3" t="s">
        <v>53</v>
      </c>
      <c r="E197" s="3" t="s">
        <v>9</v>
      </c>
      <c r="F197" s="3" t="s">
        <v>10</v>
      </c>
      <c r="G197" s="3"/>
    </row>
    <row r="198" spans="1:9" x14ac:dyDescent="0.35">
      <c r="A198">
        <v>100</v>
      </c>
      <c r="B198" s="3" t="s">
        <v>6</v>
      </c>
      <c r="C198" s="3" t="s">
        <v>154</v>
      </c>
      <c r="D198" s="3" t="s">
        <v>47</v>
      </c>
      <c r="E198" s="3" t="s">
        <v>9</v>
      </c>
      <c r="F198" s="3" t="s">
        <v>10</v>
      </c>
      <c r="G198" s="3"/>
    </row>
    <row r="199" spans="1:9" x14ac:dyDescent="0.35">
      <c r="A199">
        <v>78</v>
      </c>
      <c r="B199" s="17" t="s">
        <v>102</v>
      </c>
      <c r="C199" s="17" t="s">
        <v>7</v>
      </c>
      <c r="D199" s="17" t="s">
        <v>8</v>
      </c>
      <c r="E199" s="17" t="s">
        <v>9</v>
      </c>
      <c r="F199" s="17" t="s">
        <v>15</v>
      </c>
      <c r="G199" s="17"/>
    </row>
    <row r="200" spans="1:9" x14ac:dyDescent="0.35">
      <c r="A200">
        <v>50</v>
      </c>
      <c r="B200" s="3" t="s">
        <v>75</v>
      </c>
      <c r="C200" s="3" t="s">
        <v>7</v>
      </c>
      <c r="D200" s="3" t="s">
        <v>8</v>
      </c>
      <c r="E200" s="3" t="s">
        <v>9</v>
      </c>
      <c r="F200" s="3" t="s">
        <v>26</v>
      </c>
      <c r="I200">
        <v>1</v>
      </c>
    </row>
    <row r="201" spans="1:9" x14ac:dyDescent="0.35">
      <c r="A201">
        <v>50</v>
      </c>
      <c r="B201" s="3" t="s">
        <v>75</v>
      </c>
      <c r="C201" s="3" t="s">
        <v>134</v>
      </c>
      <c r="D201" s="3" t="s">
        <v>69</v>
      </c>
      <c r="E201" s="3" t="s">
        <v>9</v>
      </c>
      <c r="F201" s="3" t="s">
        <v>26</v>
      </c>
    </row>
    <row r="202" spans="1:9" x14ac:dyDescent="0.35">
      <c r="A202">
        <v>50</v>
      </c>
      <c r="B202" s="3" t="s">
        <v>75</v>
      </c>
      <c r="C202" s="3" t="s">
        <v>154</v>
      </c>
      <c r="D202" s="3" t="s">
        <v>47</v>
      </c>
      <c r="E202" s="3" t="s">
        <v>9</v>
      </c>
      <c r="F202" s="3" t="s">
        <v>26</v>
      </c>
    </row>
    <row r="203" spans="1:9" x14ac:dyDescent="0.35">
      <c r="A203">
        <v>52</v>
      </c>
      <c r="B203" s="2" t="s">
        <v>142</v>
      </c>
      <c r="C203" s="2" t="s">
        <v>128</v>
      </c>
      <c r="D203" s="2" t="s">
        <v>8</v>
      </c>
      <c r="E203" s="2" t="s">
        <v>9</v>
      </c>
      <c r="F203" s="2" t="s">
        <v>15</v>
      </c>
    </row>
    <row r="204" spans="1:9" x14ac:dyDescent="0.35">
      <c r="A204">
        <v>55</v>
      </c>
      <c r="B204" s="7" t="s">
        <v>143</v>
      </c>
      <c r="C204" s="7" t="s">
        <v>128</v>
      </c>
      <c r="D204" s="7" t="s">
        <v>8</v>
      </c>
      <c r="E204" s="7" t="s">
        <v>9</v>
      </c>
      <c r="F204" s="7" t="s">
        <v>15</v>
      </c>
    </row>
    <row r="205" spans="1:9" x14ac:dyDescent="0.35">
      <c r="A205">
        <v>56</v>
      </c>
      <c r="B205" s="3" t="s">
        <v>144</v>
      </c>
      <c r="C205" s="3" t="s">
        <v>128</v>
      </c>
      <c r="D205" s="3" t="s">
        <v>8</v>
      </c>
      <c r="E205" s="3" t="s">
        <v>9</v>
      </c>
      <c r="F205" s="3" t="s">
        <v>15</v>
      </c>
    </row>
    <row r="206" spans="1:9" x14ac:dyDescent="0.35">
      <c r="A206">
        <v>17</v>
      </c>
      <c r="B206" s="7" t="s">
        <v>132</v>
      </c>
      <c r="C206" s="7" t="s">
        <v>128</v>
      </c>
      <c r="D206" s="7" t="s">
        <v>8</v>
      </c>
      <c r="E206" s="7" t="s">
        <v>9</v>
      </c>
      <c r="F206" s="7" t="s">
        <v>15</v>
      </c>
    </row>
    <row r="207" spans="1:9" x14ac:dyDescent="0.35">
      <c r="A207">
        <v>49</v>
      </c>
      <c r="B207" s="11" t="s">
        <v>140</v>
      </c>
      <c r="C207" s="11" t="s">
        <v>128</v>
      </c>
      <c r="D207" s="11" t="s">
        <v>8</v>
      </c>
      <c r="E207" s="11" t="s">
        <v>9</v>
      </c>
      <c r="F207" s="11" t="s">
        <v>15</v>
      </c>
    </row>
    <row r="208" spans="1:9" x14ac:dyDescent="0.35">
      <c r="A208">
        <v>51</v>
      </c>
      <c r="B208" s="3" t="s">
        <v>76</v>
      </c>
      <c r="C208" s="3" t="s">
        <v>7</v>
      </c>
      <c r="D208" s="3" t="s">
        <v>8</v>
      </c>
      <c r="E208" s="3" t="s">
        <v>9</v>
      </c>
      <c r="F208" s="3" t="s">
        <v>15</v>
      </c>
    </row>
    <row r="209" spans="1:9" x14ac:dyDescent="0.35">
      <c r="A209">
        <v>51</v>
      </c>
      <c r="B209" s="3" t="s">
        <v>76</v>
      </c>
      <c r="C209" s="3" t="s">
        <v>134</v>
      </c>
      <c r="D209" s="3" t="s">
        <v>69</v>
      </c>
      <c r="E209" s="3" t="s">
        <v>9</v>
      </c>
      <c r="F209" s="3" t="s">
        <v>15</v>
      </c>
    </row>
    <row r="210" spans="1:9" x14ac:dyDescent="0.35">
      <c r="A210">
        <v>51</v>
      </c>
      <c r="B210" s="3" t="s">
        <v>76</v>
      </c>
      <c r="C210" s="3" t="s">
        <v>128</v>
      </c>
      <c r="D210" s="3" t="s">
        <v>8</v>
      </c>
      <c r="E210" s="3" t="s">
        <v>9</v>
      </c>
      <c r="F210" s="3" t="s">
        <v>15</v>
      </c>
    </row>
    <row r="211" spans="1:9" x14ac:dyDescent="0.35">
      <c r="A211">
        <v>51</v>
      </c>
      <c r="B211" s="3" t="s">
        <v>76</v>
      </c>
      <c r="C211" s="3" t="s">
        <v>130</v>
      </c>
      <c r="D211" s="3" t="s">
        <v>53</v>
      </c>
      <c r="E211" s="3" t="s">
        <v>9</v>
      </c>
      <c r="F211" s="3" t="s">
        <v>15</v>
      </c>
    </row>
    <row r="212" spans="1:9" x14ac:dyDescent="0.35">
      <c r="A212">
        <v>51</v>
      </c>
      <c r="B212" s="3" t="s">
        <v>76</v>
      </c>
      <c r="C212" s="3" t="s">
        <v>154</v>
      </c>
      <c r="D212" s="3" t="s">
        <v>47</v>
      </c>
      <c r="E212" s="3" t="s">
        <v>9</v>
      </c>
      <c r="F212" s="3" t="s">
        <v>15</v>
      </c>
    </row>
    <row r="213" spans="1:9" x14ac:dyDescent="0.35">
      <c r="A213">
        <v>72</v>
      </c>
      <c r="B213" s="20" t="s">
        <v>148</v>
      </c>
      <c r="C213" s="20" t="s">
        <v>128</v>
      </c>
      <c r="D213" s="20" t="s">
        <v>8</v>
      </c>
      <c r="E213" s="20" t="s">
        <v>9</v>
      </c>
      <c r="F213" s="20" t="s">
        <v>15</v>
      </c>
    </row>
    <row r="214" spans="1:9" x14ac:dyDescent="0.35">
      <c r="A214">
        <v>14</v>
      </c>
      <c r="B214" s="2" t="s">
        <v>20</v>
      </c>
      <c r="C214" s="2" t="s">
        <v>7</v>
      </c>
      <c r="D214" s="2" t="s">
        <v>8</v>
      </c>
      <c r="E214" s="2" t="s">
        <v>9</v>
      </c>
      <c r="F214" s="2" t="s">
        <v>21</v>
      </c>
      <c r="I214">
        <v>1</v>
      </c>
    </row>
    <row r="215" spans="1:9" x14ac:dyDescent="0.35">
      <c r="A215">
        <v>14</v>
      </c>
      <c r="B215" s="2" t="s">
        <v>20</v>
      </c>
      <c r="C215" s="2" t="s">
        <v>130</v>
      </c>
      <c r="D215" s="2" t="s">
        <v>53</v>
      </c>
      <c r="E215" s="2" t="s">
        <v>9</v>
      </c>
      <c r="F215" s="2" t="s">
        <v>21</v>
      </c>
    </row>
    <row r="216" spans="1:9" x14ac:dyDescent="0.35">
      <c r="A216">
        <v>14</v>
      </c>
      <c r="B216" s="2" t="s">
        <v>20</v>
      </c>
      <c r="C216" s="2" t="s">
        <v>154</v>
      </c>
      <c r="D216" s="2" t="s">
        <v>47</v>
      </c>
      <c r="E216" s="2" t="s">
        <v>9</v>
      </c>
      <c r="F216" s="2" t="s">
        <v>21</v>
      </c>
    </row>
    <row r="217" spans="1:9" x14ac:dyDescent="0.35">
      <c r="A217">
        <v>38</v>
      </c>
      <c r="B217" s="16" t="s">
        <v>58</v>
      </c>
      <c r="C217" s="16" t="s">
        <v>7</v>
      </c>
      <c r="D217" s="16" t="s">
        <v>8</v>
      </c>
      <c r="E217" s="16" t="s">
        <v>9</v>
      </c>
      <c r="F217" s="16" t="s">
        <v>26</v>
      </c>
      <c r="I217">
        <v>1</v>
      </c>
    </row>
    <row r="218" spans="1:9" x14ac:dyDescent="0.35">
      <c r="A218">
        <v>38</v>
      </c>
      <c r="B218" s="16" t="s">
        <v>58</v>
      </c>
      <c r="C218" s="16" t="s">
        <v>134</v>
      </c>
      <c r="D218" s="16" t="s">
        <v>69</v>
      </c>
      <c r="E218" s="16" t="s">
        <v>9</v>
      </c>
      <c r="F218" s="16" t="s">
        <v>26</v>
      </c>
    </row>
    <row r="219" spans="1:9" x14ac:dyDescent="0.35">
      <c r="A219">
        <v>38</v>
      </c>
      <c r="B219" s="16" t="s">
        <v>58</v>
      </c>
      <c r="C219" s="16" t="s">
        <v>154</v>
      </c>
      <c r="D219" s="16" t="s">
        <v>47</v>
      </c>
      <c r="E219" s="16" t="s">
        <v>9</v>
      </c>
      <c r="F219" s="16" t="s">
        <v>26</v>
      </c>
    </row>
    <row r="220" spans="1:9" x14ac:dyDescent="0.35">
      <c r="A220">
        <v>71</v>
      </c>
      <c r="B220" s="5" t="s">
        <v>95</v>
      </c>
      <c r="C220" s="5" t="s">
        <v>7</v>
      </c>
      <c r="D220" s="5" t="s">
        <v>8</v>
      </c>
      <c r="E220" s="5" t="s">
        <v>96</v>
      </c>
      <c r="F220" s="5" t="s">
        <v>26</v>
      </c>
      <c r="I220">
        <v>1</v>
      </c>
    </row>
    <row r="221" spans="1:9" x14ac:dyDescent="0.35">
      <c r="A221">
        <v>71</v>
      </c>
      <c r="B221" s="5" t="s">
        <v>95</v>
      </c>
      <c r="C221" s="5" t="s">
        <v>128</v>
      </c>
      <c r="D221" s="5" t="s">
        <v>8</v>
      </c>
      <c r="E221" s="5" t="s">
        <v>96</v>
      </c>
      <c r="F221" s="5" t="s">
        <v>26</v>
      </c>
    </row>
    <row r="222" spans="1:9" x14ac:dyDescent="0.35">
      <c r="A222">
        <v>71</v>
      </c>
      <c r="B222" s="5" t="s">
        <v>95</v>
      </c>
      <c r="C222" s="5" t="s">
        <v>154</v>
      </c>
      <c r="D222" s="5" t="s">
        <v>47</v>
      </c>
      <c r="E222" s="5" t="s">
        <v>96</v>
      </c>
      <c r="F222" s="5" t="s">
        <v>26</v>
      </c>
    </row>
    <row r="223" spans="1:9" x14ac:dyDescent="0.35">
      <c r="A223">
        <v>53</v>
      </c>
      <c r="B223" s="4" t="s">
        <v>77</v>
      </c>
      <c r="C223" s="4" t="s">
        <v>74</v>
      </c>
      <c r="D223" s="4" t="s">
        <v>69</v>
      </c>
      <c r="E223" s="4" t="s">
        <v>31</v>
      </c>
      <c r="F223" s="4" t="s">
        <v>26</v>
      </c>
    </row>
    <row r="224" spans="1:9" x14ac:dyDescent="0.35">
      <c r="A224">
        <v>53</v>
      </c>
      <c r="B224" s="4" t="s">
        <v>77</v>
      </c>
      <c r="C224" s="4" t="s">
        <v>141</v>
      </c>
      <c r="D224" s="4" t="s">
        <v>47</v>
      </c>
      <c r="E224" s="4" t="s">
        <v>31</v>
      </c>
      <c r="F224" s="4" t="s">
        <v>26</v>
      </c>
    </row>
    <row r="225" spans="1:9" x14ac:dyDescent="0.35">
      <c r="A225">
        <v>53</v>
      </c>
      <c r="B225" s="4" t="s">
        <v>77</v>
      </c>
      <c r="C225" s="4" t="s">
        <v>138</v>
      </c>
      <c r="D225" s="4" t="s">
        <v>69</v>
      </c>
      <c r="E225" s="4" t="s">
        <v>31</v>
      </c>
      <c r="F225" s="4" t="s">
        <v>26</v>
      </c>
    </row>
    <row r="226" spans="1:9" x14ac:dyDescent="0.35">
      <c r="A226">
        <v>53</v>
      </c>
      <c r="B226" s="4" t="s">
        <v>77</v>
      </c>
      <c r="C226" s="4" t="s">
        <v>160</v>
      </c>
      <c r="D226" s="4" t="s">
        <v>13</v>
      </c>
      <c r="E226" s="4" t="s">
        <v>31</v>
      </c>
      <c r="F226" s="4" t="s">
        <v>26</v>
      </c>
    </row>
    <row r="227" spans="1:9" x14ac:dyDescent="0.35">
      <c r="A227">
        <v>53</v>
      </c>
      <c r="B227" s="4" t="s">
        <v>77</v>
      </c>
      <c r="C227" s="4" t="s">
        <v>163</v>
      </c>
      <c r="D227" s="4" t="s">
        <v>53</v>
      </c>
      <c r="E227" s="4" t="s">
        <v>31</v>
      </c>
      <c r="F227" s="4" t="s">
        <v>26</v>
      </c>
    </row>
    <row r="228" spans="1:9" x14ac:dyDescent="0.35">
      <c r="A228">
        <v>5</v>
      </c>
      <c r="B228" s="7" t="s">
        <v>82</v>
      </c>
      <c r="C228" s="7" t="s">
        <v>74</v>
      </c>
      <c r="D228" s="7" t="s">
        <v>69</v>
      </c>
      <c r="E228" s="7" t="s">
        <v>31</v>
      </c>
      <c r="F228" s="7" t="s">
        <v>15</v>
      </c>
    </row>
    <row r="229" spans="1:9" x14ac:dyDescent="0.35">
      <c r="A229">
        <v>6</v>
      </c>
      <c r="B229" s="6" t="s">
        <v>93</v>
      </c>
      <c r="C229" s="6" t="s">
        <v>74</v>
      </c>
      <c r="D229" s="6" t="s">
        <v>69</v>
      </c>
      <c r="E229" s="6" t="s">
        <v>31</v>
      </c>
      <c r="F229" s="6" t="s">
        <v>15</v>
      </c>
    </row>
    <row r="230" spans="1:9" x14ac:dyDescent="0.35">
      <c r="A230">
        <v>75</v>
      </c>
      <c r="B230" s="2" t="s">
        <v>99</v>
      </c>
      <c r="C230" s="2" t="s">
        <v>74</v>
      </c>
      <c r="D230" s="2" t="s">
        <v>69</v>
      </c>
      <c r="E230" s="2" t="s">
        <v>31</v>
      </c>
      <c r="F230" s="2" t="s">
        <v>44</v>
      </c>
    </row>
    <row r="231" spans="1:9" x14ac:dyDescent="0.35">
      <c r="A231">
        <v>54</v>
      </c>
      <c r="B231" s="14" t="s">
        <v>78</v>
      </c>
      <c r="C231" s="14" t="s">
        <v>74</v>
      </c>
      <c r="D231" s="14" t="s">
        <v>69</v>
      </c>
      <c r="E231" s="14" t="s">
        <v>31</v>
      </c>
      <c r="F231" s="14" t="s">
        <v>21</v>
      </c>
      <c r="I231">
        <v>1</v>
      </c>
    </row>
    <row r="232" spans="1:9" x14ac:dyDescent="0.35">
      <c r="A232">
        <v>54</v>
      </c>
      <c r="B232" s="14" t="s">
        <v>78</v>
      </c>
      <c r="C232" s="14" t="s">
        <v>141</v>
      </c>
      <c r="D232" s="14" t="s">
        <v>47</v>
      </c>
      <c r="E232" s="14" t="s">
        <v>31</v>
      </c>
      <c r="F232" s="14" t="s">
        <v>21</v>
      </c>
    </row>
    <row r="233" spans="1:9" x14ac:dyDescent="0.35">
      <c r="A233">
        <v>54</v>
      </c>
      <c r="B233" s="14" t="s">
        <v>78</v>
      </c>
      <c r="C233" s="14" t="s">
        <v>138</v>
      </c>
      <c r="D233" s="14" t="s">
        <v>69</v>
      </c>
      <c r="E233" s="14" t="s">
        <v>31</v>
      </c>
      <c r="F233" s="14" t="s">
        <v>21</v>
      </c>
    </row>
    <row r="234" spans="1:9" x14ac:dyDescent="0.35">
      <c r="A234">
        <v>69</v>
      </c>
      <c r="B234" s="16" t="s">
        <v>92</v>
      </c>
      <c r="C234" s="16" t="s">
        <v>74</v>
      </c>
      <c r="D234" s="16" t="s">
        <v>69</v>
      </c>
      <c r="E234" s="16" t="s">
        <v>31</v>
      </c>
      <c r="F234" s="16" t="s">
        <v>26</v>
      </c>
      <c r="I234">
        <v>1</v>
      </c>
    </row>
    <row r="235" spans="1:9" x14ac:dyDescent="0.35">
      <c r="A235">
        <v>69</v>
      </c>
      <c r="B235" s="16" t="s">
        <v>92</v>
      </c>
      <c r="C235" s="16" t="s">
        <v>138</v>
      </c>
      <c r="D235" s="16" t="s">
        <v>69</v>
      </c>
      <c r="E235" s="16" t="s">
        <v>31</v>
      </c>
      <c r="F235" s="16" t="s">
        <v>26</v>
      </c>
    </row>
    <row r="236" spans="1:9" x14ac:dyDescent="0.35">
      <c r="A236">
        <v>69</v>
      </c>
      <c r="B236" s="16" t="s">
        <v>92</v>
      </c>
      <c r="C236" s="16" t="s">
        <v>163</v>
      </c>
      <c r="D236" s="16" t="s">
        <v>53</v>
      </c>
      <c r="E236" s="16" t="s">
        <v>31</v>
      </c>
      <c r="F236" s="16" t="s">
        <v>26</v>
      </c>
    </row>
    <row r="237" spans="1:9" x14ac:dyDescent="0.35">
      <c r="A237">
        <v>4</v>
      </c>
      <c r="B237" s="7" t="s">
        <v>73</v>
      </c>
      <c r="C237" s="7" t="s">
        <v>74</v>
      </c>
      <c r="D237" s="7" t="s">
        <v>69</v>
      </c>
      <c r="E237" s="7" t="s">
        <v>31</v>
      </c>
      <c r="F237" s="7" t="s">
        <v>26</v>
      </c>
      <c r="I237">
        <v>1</v>
      </c>
    </row>
    <row r="238" spans="1:9" x14ac:dyDescent="0.35">
      <c r="A238">
        <v>4</v>
      </c>
      <c r="B238" s="7" t="s">
        <v>73</v>
      </c>
      <c r="C238" s="7" t="s">
        <v>141</v>
      </c>
      <c r="D238" s="7" t="s">
        <v>47</v>
      </c>
      <c r="E238" s="7" t="s">
        <v>31</v>
      </c>
      <c r="F238" s="7" t="s">
        <v>26</v>
      </c>
    </row>
    <row r="239" spans="1:9" x14ac:dyDescent="0.35">
      <c r="A239">
        <v>4</v>
      </c>
      <c r="B239" s="7" t="s">
        <v>73</v>
      </c>
      <c r="C239" s="7" t="s">
        <v>160</v>
      </c>
      <c r="D239" s="7" t="s">
        <v>13</v>
      </c>
      <c r="E239" s="7" t="s">
        <v>31</v>
      </c>
      <c r="F239" s="7" t="s">
        <v>26</v>
      </c>
    </row>
    <row r="240" spans="1:9" x14ac:dyDescent="0.35">
      <c r="A240">
        <v>92</v>
      </c>
      <c r="B240" s="17" t="s">
        <v>120</v>
      </c>
      <c r="C240" s="17" t="s">
        <v>74</v>
      </c>
      <c r="D240" s="17" t="s">
        <v>69</v>
      </c>
      <c r="E240" s="17" t="s">
        <v>31</v>
      </c>
      <c r="F240" s="17" t="s">
        <v>26</v>
      </c>
    </row>
    <row r="241" spans="1:9" x14ac:dyDescent="0.35">
      <c r="A241">
        <v>92</v>
      </c>
      <c r="B241" s="17" t="s">
        <v>120</v>
      </c>
      <c r="C241" s="17" t="s">
        <v>141</v>
      </c>
      <c r="D241" s="17" t="s">
        <v>47</v>
      </c>
      <c r="E241" s="17" t="s">
        <v>31</v>
      </c>
      <c r="F241" s="17" t="s">
        <v>26</v>
      </c>
    </row>
    <row r="242" spans="1:9" x14ac:dyDescent="0.35">
      <c r="A242">
        <v>92</v>
      </c>
      <c r="B242" s="17" t="s">
        <v>120</v>
      </c>
      <c r="C242" s="17" t="s">
        <v>160</v>
      </c>
      <c r="D242" s="17" t="s">
        <v>13</v>
      </c>
      <c r="E242" s="17" t="s">
        <v>31</v>
      </c>
      <c r="F242" s="17" t="s">
        <v>26</v>
      </c>
    </row>
    <row r="243" spans="1:9" x14ac:dyDescent="0.35">
      <c r="A243">
        <v>92</v>
      </c>
      <c r="B243" s="17" t="s">
        <v>120</v>
      </c>
      <c r="C243" s="17" t="s">
        <v>163</v>
      </c>
      <c r="D243" s="17" t="s">
        <v>53</v>
      </c>
      <c r="E243" s="17" t="s">
        <v>31</v>
      </c>
      <c r="F243" s="17" t="s">
        <v>26</v>
      </c>
    </row>
    <row r="244" spans="1:9" x14ac:dyDescent="0.35">
      <c r="A244">
        <v>92</v>
      </c>
      <c r="B244" s="17" t="s">
        <v>120</v>
      </c>
      <c r="C244" s="17" t="s">
        <v>166</v>
      </c>
      <c r="D244" s="17" t="s">
        <v>69</v>
      </c>
      <c r="E244" s="17" t="s">
        <v>31</v>
      </c>
      <c r="F244" s="17" t="s">
        <v>26</v>
      </c>
    </row>
    <row r="245" spans="1:9" x14ac:dyDescent="0.35">
      <c r="A245">
        <v>96</v>
      </c>
      <c r="B245" s="7" t="s">
        <v>124</v>
      </c>
      <c r="C245" s="7" t="s">
        <v>104</v>
      </c>
      <c r="D245" s="7" t="s">
        <v>69</v>
      </c>
      <c r="E245" s="7" t="s">
        <v>31</v>
      </c>
      <c r="F245" s="7" t="s">
        <v>15</v>
      </c>
      <c r="I245">
        <v>1</v>
      </c>
    </row>
    <row r="246" spans="1:9" x14ac:dyDescent="0.35">
      <c r="A246">
        <v>96</v>
      </c>
      <c r="B246" s="7" t="s">
        <v>124</v>
      </c>
      <c r="C246" s="7" t="s">
        <v>152</v>
      </c>
      <c r="D246" s="7" t="s">
        <v>8</v>
      </c>
      <c r="E246" s="7" t="s">
        <v>31</v>
      </c>
      <c r="F246" s="7" t="s">
        <v>15</v>
      </c>
    </row>
    <row r="247" spans="1:9" x14ac:dyDescent="0.35">
      <c r="A247">
        <v>96</v>
      </c>
      <c r="B247" s="7" t="s">
        <v>124</v>
      </c>
      <c r="C247" s="7" t="s">
        <v>166</v>
      </c>
      <c r="D247" s="7" t="s">
        <v>69</v>
      </c>
      <c r="E247" s="7" t="s">
        <v>31</v>
      </c>
      <c r="F247" s="7" t="s">
        <v>15</v>
      </c>
    </row>
    <row r="248" spans="1:9" x14ac:dyDescent="0.35">
      <c r="A248">
        <v>97</v>
      </c>
      <c r="B248" s="9" t="s">
        <v>125</v>
      </c>
      <c r="C248" s="9" t="s">
        <v>104</v>
      </c>
      <c r="D248" s="9" t="s">
        <v>69</v>
      </c>
      <c r="E248" s="9" t="s">
        <v>31</v>
      </c>
      <c r="F248" s="9" t="s">
        <v>21</v>
      </c>
      <c r="I248">
        <v>1</v>
      </c>
    </row>
    <row r="249" spans="1:9" x14ac:dyDescent="0.35">
      <c r="A249">
        <v>97</v>
      </c>
      <c r="B249" s="9" t="s">
        <v>125</v>
      </c>
      <c r="C249" s="9" t="s">
        <v>153</v>
      </c>
      <c r="D249" s="9" t="s">
        <v>47</v>
      </c>
      <c r="E249" s="9" t="s">
        <v>31</v>
      </c>
      <c r="F249" s="9" t="s">
        <v>21</v>
      </c>
    </row>
    <row r="250" spans="1:9" x14ac:dyDescent="0.35">
      <c r="A250">
        <v>97</v>
      </c>
      <c r="B250" s="9" t="s">
        <v>125</v>
      </c>
      <c r="C250" s="9" t="s">
        <v>166</v>
      </c>
      <c r="D250" s="9" t="s">
        <v>69</v>
      </c>
      <c r="E250" s="9" t="s">
        <v>31</v>
      </c>
      <c r="F250" s="9" t="s">
        <v>21</v>
      </c>
    </row>
    <row r="251" spans="1:9" x14ac:dyDescent="0.35">
      <c r="A251">
        <v>79</v>
      </c>
      <c r="B251" s="6" t="s">
        <v>103</v>
      </c>
      <c r="C251" s="6" t="s">
        <v>104</v>
      </c>
      <c r="D251" s="6" t="s">
        <v>69</v>
      </c>
      <c r="E251" s="6" t="s">
        <v>31</v>
      </c>
      <c r="F251" s="6" t="s">
        <v>15</v>
      </c>
    </row>
    <row r="252" spans="1:9" x14ac:dyDescent="0.35">
      <c r="A252">
        <v>80</v>
      </c>
      <c r="B252" s="7" t="s">
        <v>106</v>
      </c>
      <c r="C252" s="7" t="s">
        <v>104</v>
      </c>
      <c r="D252" s="7" t="s">
        <v>69</v>
      </c>
      <c r="E252" s="7" t="s">
        <v>31</v>
      </c>
      <c r="F252" s="7" t="s">
        <v>15</v>
      </c>
    </row>
    <row r="253" spans="1:9" x14ac:dyDescent="0.35">
      <c r="A253">
        <v>93</v>
      </c>
      <c r="B253" s="3" t="s">
        <v>121</v>
      </c>
      <c r="C253" s="3" t="s">
        <v>104</v>
      </c>
      <c r="D253" s="3" t="s">
        <v>69</v>
      </c>
      <c r="E253" s="3" t="s">
        <v>31</v>
      </c>
      <c r="F253" s="3" t="s">
        <v>26</v>
      </c>
      <c r="I253">
        <v>1</v>
      </c>
    </row>
    <row r="254" spans="1:9" x14ac:dyDescent="0.35">
      <c r="A254">
        <v>93</v>
      </c>
      <c r="B254" s="3" t="s">
        <v>121</v>
      </c>
      <c r="C254" s="3" t="s">
        <v>151</v>
      </c>
      <c r="D254" s="3" t="s">
        <v>8</v>
      </c>
      <c r="E254" s="3" t="s">
        <v>31</v>
      </c>
      <c r="F254" s="3" t="s">
        <v>26</v>
      </c>
    </row>
    <row r="255" spans="1:9" x14ac:dyDescent="0.35">
      <c r="A255">
        <v>93</v>
      </c>
      <c r="B255" s="3" t="s">
        <v>121</v>
      </c>
      <c r="C255" s="3" t="s">
        <v>152</v>
      </c>
      <c r="D255" s="3" t="s">
        <v>8</v>
      </c>
      <c r="E255" s="3" t="s">
        <v>31</v>
      </c>
      <c r="F255" s="3" t="s">
        <v>26</v>
      </c>
    </row>
    <row r="257" spans="11:11" x14ac:dyDescent="0.35">
      <c r="K257">
        <f>SUM(I:I)</f>
        <v>57</v>
      </c>
    </row>
  </sheetData>
  <autoFilter ref="A1:F25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topLeftCell="B1" workbookViewId="0">
      <selection activeCell="J13" sqref="J13"/>
    </sheetView>
  </sheetViews>
  <sheetFormatPr baseColWidth="10" defaultColWidth="8.7265625" defaultRowHeight="14.5" x14ac:dyDescent="0.35"/>
  <cols>
    <col min="1" max="1" width="3.90625" customWidth="1"/>
    <col min="2" max="2" width="37.453125" customWidth="1"/>
    <col min="3" max="3" width="19.08984375" customWidth="1"/>
    <col min="4" max="4" width="21.6328125" customWidth="1"/>
    <col min="5" max="5" width="21.453125" customWidth="1"/>
    <col min="6" max="6" width="26.1796875" customWidth="1"/>
    <col min="7" max="7" width="25" customWidth="1"/>
    <col min="8" max="8" width="19.453125" customWidth="1"/>
    <col min="9" max="9" width="48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174</v>
      </c>
      <c r="I1" t="s">
        <v>172</v>
      </c>
      <c r="J1">
        <f>COUNTIF(G:G,"rechts")</f>
        <v>25</v>
      </c>
    </row>
    <row r="2" spans="1:10" x14ac:dyDescent="0.35">
      <c r="A2" s="1">
        <v>45</v>
      </c>
      <c r="B2" s="1" t="s">
        <v>67</v>
      </c>
      <c r="C2" s="1" t="s">
        <v>68</v>
      </c>
      <c r="D2" s="1" t="s">
        <v>69</v>
      </c>
      <c r="E2" s="1" t="s">
        <v>31</v>
      </c>
      <c r="F2" s="1" t="s">
        <v>10</v>
      </c>
      <c r="G2" t="str">
        <f>IF(COUNTIF(D2:D4,"SVP")+COUNTIF(D2:D4,"FDP")&gt;=2,"rechts",IF(COUNTIF(D2:D4,"SP")+COUNTIF(D2:D4,"Grüne")&gt;=2,"links",""))</f>
        <v>rechts</v>
      </c>
      <c r="H2" t="str">
        <f>IF(AND(OR(F2="gutgeheissen",F2="teilweise gutgeheissen"),G2="rechts"),"rechts_gutgeheissen",IF(G2="rechts","rechts_kein_erfolg",IF(AND(OR(F2="gutgeheissen",F2="teilweise gutgeheissen"),G2="links"),"links_gutgeheissen",IF(G2="links","links_kein_erfolg",""))))</f>
        <v>rechts_gutgeheissen</v>
      </c>
      <c r="I2" t="s">
        <v>173</v>
      </c>
      <c r="J2">
        <f>COUNTIF(G:G,"links")</f>
        <v>10</v>
      </c>
    </row>
    <row r="3" spans="1:10" x14ac:dyDescent="0.35">
      <c r="A3" s="1">
        <v>45</v>
      </c>
      <c r="B3" s="1" t="s">
        <v>67</v>
      </c>
      <c r="C3" s="1" t="s">
        <v>137</v>
      </c>
      <c r="D3" s="1" t="s">
        <v>13</v>
      </c>
      <c r="E3" s="1" t="s">
        <v>31</v>
      </c>
      <c r="F3" s="1" t="s">
        <v>10</v>
      </c>
      <c r="H3" t="str">
        <f t="shared" ref="H3:H5" si="0">IF(AND(OR(F3="gutgeheissen",F3="teilweise gutgeheissen"),G3="rechts"),"rechts_gutgeheissen",IF(G3="rechts","rechts_kein_erfolg",IF(AND(OR(F3="gutgeheissen",F3="teilweise gutgeheissen"),G3="links"),"links_gutgeheissen",IF(G3="links","links_kein_erfolg",""))))</f>
        <v/>
      </c>
      <c r="I3" t="s">
        <v>175</v>
      </c>
      <c r="J3">
        <f>COUNTIF(H:H,"rechts_gutgeheissen")</f>
        <v>4</v>
      </c>
    </row>
    <row r="4" spans="1:10" x14ac:dyDescent="0.35">
      <c r="A4" s="1">
        <v>45</v>
      </c>
      <c r="B4" s="1" t="s">
        <v>67</v>
      </c>
      <c r="C4" s="1" t="s">
        <v>156</v>
      </c>
      <c r="D4" s="1" t="s">
        <v>157</v>
      </c>
      <c r="E4" s="1" t="s">
        <v>31</v>
      </c>
      <c r="F4" s="1" t="s">
        <v>10</v>
      </c>
      <c r="H4" t="str">
        <f t="shared" si="0"/>
        <v/>
      </c>
      <c r="I4" t="s">
        <v>177</v>
      </c>
      <c r="J4">
        <f>COUNTIF(H:H,"links_gutgeheissen")</f>
        <v>4</v>
      </c>
    </row>
    <row r="5" spans="1:10" x14ac:dyDescent="0.35">
      <c r="A5" s="2">
        <v>58</v>
      </c>
      <c r="B5" s="2" t="s">
        <v>80</v>
      </c>
      <c r="C5" s="2" t="s">
        <v>30</v>
      </c>
      <c r="D5" s="2" t="s">
        <v>24</v>
      </c>
      <c r="E5" s="2" t="s">
        <v>31</v>
      </c>
      <c r="F5" s="2" t="s">
        <v>15</v>
      </c>
      <c r="G5" t="str">
        <f t="shared" ref="G5" si="1">IF(COUNTIF(D5:D7,"SVP")+COUNTIF(D5:D7,"FDP")&gt;=2,"rechts",IF(COUNTIF(D5:D7,"SP")+COUNTIF(D5:D7,"Grüne")&gt;=2,"links",""))</f>
        <v/>
      </c>
      <c r="H5" t="str">
        <f t="shared" si="0"/>
        <v/>
      </c>
      <c r="I5" t="s">
        <v>176</v>
      </c>
      <c r="J5" s="22">
        <f>100/J1*J3</f>
        <v>16</v>
      </c>
    </row>
    <row r="6" spans="1:10" x14ac:dyDescent="0.35">
      <c r="A6" s="2">
        <v>58</v>
      </c>
      <c r="B6" s="2" t="s">
        <v>80</v>
      </c>
      <c r="C6" s="2" t="s">
        <v>65</v>
      </c>
      <c r="D6" s="2" t="s">
        <v>8</v>
      </c>
      <c r="E6" s="2" t="s">
        <v>31</v>
      </c>
      <c r="F6" s="2" t="s">
        <v>15</v>
      </c>
      <c r="H6" t="str">
        <f t="shared" ref="H6:H69" si="2">IF(AND(OR(F6="gutgeheissen",F6="teilweise gutgeheissen"),G6="rechts"),"rechts_gutgeheissen",IF(G6="rechts","rechts_kein_erfolg",IF(AND(OR(F6="gutgeheissen",F6="teilweise gutgeheissen"),G6="links"),"links_gutgeheissen",IF(G6="links","links_kein_erfolg",""))))</f>
        <v/>
      </c>
      <c r="I6" t="s">
        <v>176</v>
      </c>
      <c r="J6" s="22">
        <f>100/J2*J4</f>
        <v>40</v>
      </c>
    </row>
    <row r="7" spans="1:10" x14ac:dyDescent="0.35">
      <c r="A7" s="2">
        <v>58</v>
      </c>
      <c r="B7" s="2" t="s">
        <v>80</v>
      </c>
      <c r="C7" s="2" t="s">
        <v>68</v>
      </c>
      <c r="D7" s="2" t="s">
        <v>69</v>
      </c>
      <c r="E7" s="2" t="s">
        <v>31</v>
      </c>
      <c r="F7" s="2" t="s">
        <v>15</v>
      </c>
      <c r="H7" t="str">
        <f t="shared" si="2"/>
        <v/>
      </c>
    </row>
    <row r="8" spans="1:10" x14ac:dyDescent="0.35">
      <c r="A8" s="3">
        <v>27</v>
      </c>
      <c r="B8" s="3" t="s">
        <v>41</v>
      </c>
      <c r="C8" s="3" t="s">
        <v>30</v>
      </c>
      <c r="D8" s="3" t="s">
        <v>24</v>
      </c>
      <c r="E8" s="3" t="s">
        <v>31</v>
      </c>
      <c r="F8" s="3" t="s">
        <v>15</v>
      </c>
      <c r="G8" t="str">
        <f t="shared" ref="G8" si="3">IF(COUNTIF(D8:D10,"SVP")+COUNTIF(D8:D10,"FDP")&gt;=2,"rechts",IF(COUNTIF(D8:D10,"SP")+COUNTIF(D8:D10,"Grüne")&gt;=2,"links",""))</f>
        <v/>
      </c>
      <c r="H8" t="str">
        <f t="shared" si="2"/>
        <v/>
      </c>
    </row>
    <row r="9" spans="1:10" x14ac:dyDescent="0.35">
      <c r="A9" s="3">
        <v>27</v>
      </c>
      <c r="B9" s="3" t="s">
        <v>41</v>
      </c>
      <c r="C9" s="3" t="s">
        <v>137</v>
      </c>
      <c r="D9" s="3" t="s">
        <v>13</v>
      </c>
      <c r="E9" s="3" t="s">
        <v>31</v>
      </c>
      <c r="F9" s="3" t="s">
        <v>15</v>
      </c>
      <c r="H9" t="str">
        <f t="shared" si="2"/>
        <v/>
      </c>
    </row>
    <row r="10" spans="1:10" x14ac:dyDescent="0.35">
      <c r="A10" s="3">
        <v>27</v>
      </c>
      <c r="B10" s="3" t="s">
        <v>41</v>
      </c>
      <c r="C10" s="3" t="s">
        <v>156</v>
      </c>
      <c r="D10" s="3" t="s">
        <v>157</v>
      </c>
      <c r="E10" s="3" t="s">
        <v>31</v>
      </c>
      <c r="F10" s="3" t="s">
        <v>15</v>
      </c>
      <c r="H10" t="str">
        <f t="shared" si="2"/>
        <v/>
      </c>
    </row>
    <row r="11" spans="1:10" x14ac:dyDescent="0.35">
      <c r="A11" s="4">
        <v>7</v>
      </c>
      <c r="B11" s="4" t="s">
        <v>105</v>
      </c>
      <c r="C11" s="4" t="s">
        <v>30</v>
      </c>
      <c r="D11" s="4" t="s">
        <v>24</v>
      </c>
      <c r="E11" s="4" t="s">
        <v>31</v>
      </c>
      <c r="F11" s="4" t="s">
        <v>15</v>
      </c>
      <c r="G11" t="str">
        <f t="shared" ref="G11" si="4">IF(COUNTIF(D11:D13,"SVP")+COUNTIF(D11:D13,"FDP")&gt;=2,"rechts",IF(COUNTIF(D11:D13,"SP")+COUNTIF(D11:D13,"Grüne")&gt;=2,"links",""))</f>
        <v/>
      </c>
      <c r="H11" t="str">
        <f t="shared" si="2"/>
        <v/>
      </c>
    </row>
    <row r="12" spans="1:10" x14ac:dyDescent="0.35">
      <c r="A12" s="4">
        <v>7</v>
      </c>
      <c r="B12" s="4" t="s">
        <v>105</v>
      </c>
      <c r="C12" s="4" t="s">
        <v>65</v>
      </c>
      <c r="D12" s="4" t="s">
        <v>8</v>
      </c>
      <c r="E12" s="4" t="s">
        <v>31</v>
      </c>
      <c r="F12" s="4" t="s">
        <v>15</v>
      </c>
      <c r="H12" t="str">
        <f t="shared" si="2"/>
        <v/>
      </c>
    </row>
    <row r="13" spans="1:10" x14ac:dyDescent="0.35">
      <c r="A13" s="4">
        <v>7</v>
      </c>
      <c r="B13" s="4" t="s">
        <v>105</v>
      </c>
      <c r="C13" s="4" t="s">
        <v>164</v>
      </c>
      <c r="D13" s="4" t="s">
        <v>13</v>
      </c>
      <c r="E13" s="4" t="s">
        <v>31</v>
      </c>
      <c r="F13" s="4" t="s">
        <v>15</v>
      </c>
      <c r="H13" t="str">
        <f t="shared" si="2"/>
        <v/>
      </c>
    </row>
    <row r="14" spans="1:10" x14ac:dyDescent="0.35">
      <c r="A14" s="5">
        <v>46</v>
      </c>
      <c r="B14" s="5" t="s">
        <v>70</v>
      </c>
      <c r="C14" s="5" t="s">
        <v>68</v>
      </c>
      <c r="D14" s="5" t="s">
        <v>69</v>
      </c>
      <c r="E14" s="5" t="s">
        <v>31</v>
      </c>
      <c r="F14" s="5" t="s">
        <v>10</v>
      </c>
      <c r="G14" t="str">
        <f t="shared" ref="G14" si="5">IF(COUNTIF(D14:D16,"SVP")+COUNTIF(D14:D16,"FDP")&gt;=2,"rechts",IF(COUNTIF(D14:D16,"SP")+COUNTIF(D14:D16,"Grüne")&gt;=2,"links",""))</f>
        <v>rechts</v>
      </c>
      <c r="H14" t="str">
        <f t="shared" si="2"/>
        <v>rechts_gutgeheissen</v>
      </c>
    </row>
    <row r="15" spans="1:10" x14ac:dyDescent="0.35">
      <c r="A15" s="5">
        <v>46</v>
      </c>
      <c r="B15" s="5" t="s">
        <v>70</v>
      </c>
      <c r="C15" s="5" t="s">
        <v>137</v>
      </c>
      <c r="D15" s="5" t="s">
        <v>13</v>
      </c>
      <c r="E15" s="5" t="s">
        <v>31</v>
      </c>
      <c r="F15" s="5" t="s">
        <v>10</v>
      </c>
      <c r="H15" t="str">
        <f t="shared" si="2"/>
        <v/>
      </c>
    </row>
    <row r="16" spans="1:10" x14ac:dyDescent="0.35">
      <c r="A16" s="5">
        <v>46</v>
      </c>
      <c r="B16" s="5" t="s">
        <v>70</v>
      </c>
      <c r="C16" s="5" t="s">
        <v>156</v>
      </c>
      <c r="D16" s="5" t="s">
        <v>157</v>
      </c>
      <c r="E16" s="5" t="s">
        <v>31</v>
      </c>
      <c r="F16" s="5" t="s">
        <v>10</v>
      </c>
      <c r="H16" t="str">
        <f t="shared" si="2"/>
        <v/>
      </c>
    </row>
    <row r="17" spans="1:8" x14ac:dyDescent="0.35">
      <c r="A17" s="6">
        <v>89</v>
      </c>
      <c r="B17" s="6" t="s">
        <v>116</v>
      </c>
      <c r="C17" s="6" t="s">
        <v>65</v>
      </c>
      <c r="D17" s="6" t="s">
        <v>8</v>
      </c>
      <c r="E17" s="6" t="s">
        <v>31</v>
      </c>
      <c r="F17" s="6" t="s">
        <v>10</v>
      </c>
      <c r="G17" t="str">
        <f t="shared" ref="G17" si="6">IF(COUNTIF(D17:D19,"SVP")+COUNTIF(D17:D19,"FDP")&gt;=2,"rechts",IF(COUNTIF(D17:D19,"SP")+COUNTIF(D17:D19,"Grüne")&gt;=2,"links",""))</f>
        <v/>
      </c>
      <c r="H17" t="str">
        <f t="shared" si="2"/>
        <v/>
      </c>
    </row>
    <row r="18" spans="1:8" x14ac:dyDescent="0.35">
      <c r="A18" s="6">
        <v>89</v>
      </c>
      <c r="B18" s="6" t="s">
        <v>116</v>
      </c>
      <c r="C18" s="6" t="s">
        <v>68</v>
      </c>
      <c r="D18" s="6" t="s">
        <v>69</v>
      </c>
      <c r="E18" s="6" t="s">
        <v>31</v>
      </c>
      <c r="F18" s="6" t="s">
        <v>10</v>
      </c>
      <c r="H18" t="str">
        <f t="shared" si="2"/>
        <v/>
      </c>
    </row>
    <row r="19" spans="1:8" x14ac:dyDescent="0.35">
      <c r="A19" s="6">
        <v>89</v>
      </c>
      <c r="B19" s="6" t="s">
        <v>116</v>
      </c>
      <c r="C19" s="6" t="s">
        <v>150</v>
      </c>
      <c r="D19" s="6" t="s">
        <v>47</v>
      </c>
      <c r="E19" s="6" t="s">
        <v>31</v>
      </c>
      <c r="F19" s="6" t="s">
        <v>10</v>
      </c>
      <c r="H19" t="str">
        <f t="shared" si="2"/>
        <v/>
      </c>
    </row>
    <row r="20" spans="1:8" x14ac:dyDescent="0.35">
      <c r="A20" s="7">
        <v>73</v>
      </c>
      <c r="B20" s="7" t="s">
        <v>97</v>
      </c>
      <c r="C20" s="7" t="s">
        <v>30</v>
      </c>
      <c r="D20" s="7" t="s">
        <v>24</v>
      </c>
      <c r="E20" s="7" t="s">
        <v>31</v>
      </c>
      <c r="F20" s="7" t="s">
        <v>21</v>
      </c>
      <c r="G20" t="str">
        <f t="shared" ref="G20" si="7">IF(COUNTIF(D20:D22,"SVP")+COUNTIF(D20:D22,"FDP")&gt;=2,"rechts",IF(COUNTIF(D20:D22,"SP")+COUNTIF(D20:D22,"Grüne")&gt;=2,"links",""))</f>
        <v/>
      </c>
      <c r="H20" t="str">
        <f t="shared" si="2"/>
        <v/>
      </c>
    </row>
    <row r="21" spans="1:8" x14ac:dyDescent="0.35">
      <c r="A21" s="7">
        <v>73</v>
      </c>
      <c r="B21" s="7" t="s">
        <v>97</v>
      </c>
      <c r="C21" s="7" t="s">
        <v>68</v>
      </c>
      <c r="D21" s="7" t="s">
        <v>69</v>
      </c>
      <c r="E21" s="7" t="s">
        <v>31</v>
      </c>
      <c r="F21" s="7" t="s">
        <v>21</v>
      </c>
      <c r="H21" t="str">
        <f t="shared" si="2"/>
        <v/>
      </c>
    </row>
    <row r="22" spans="1:8" x14ac:dyDescent="0.35">
      <c r="A22" s="7">
        <v>73</v>
      </c>
      <c r="B22" s="7" t="s">
        <v>97</v>
      </c>
      <c r="C22" s="7" t="s">
        <v>156</v>
      </c>
      <c r="D22" s="7" t="s">
        <v>157</v>
      </c>
      <c r="E22" s="7" t="s">
        <v>31</v>
      </c>
      <c r="F22" s="7" t="s">
        <v>21</v>
      </c>
      <c r="H22" t="str">
        <f t="shared" si="2"/>
        <v/>
      </c>
    </row>
    <row r="23" spans="1:8" x14ac:dyDescent="0.35">
      <c r="A23" s="8">
        <v>43</v>
      </c>
      <c r="B23" s="8" t="s">
        <v>64</v>
      </c>
      <c r="C23" s="8" t="s">
        <v>65</v>
      </c>
      <c r="D23" s="8" t="s">
        <v>8</v>
      </c>
      <c r="E23" s="8" t="s">
        <v>31</v>
      </c>
      <c r="F23" s="8" t="s">
        <v>10</v>
      </c>
      <c r="G23" t="str">
        <f t="shared" ref="G23" si="8">IF(COUNTIF(D23:D25,"SVP")+COUNTIF(D23:D25,"FDP")&gt;=2,"rechts",IF(COUNTIF(D23:D25,"SP")+COUNTIF(D23:D25,"Grüne")&gt;=2,"links",""))</f>
        <v/>
      </c>
      <c r="H23" t="str">
        <f t="shared" si="2"/>
        <v/>
      </c>
    </row>
    <row r="24" spans="1:8" x14ac:dyDescent="0.35">
      <c r="A24" s="8">
        <v>43</v>
      </c>
      <c r="B24" s="8" t="s">
        <v>64</v>
      </c>
      <c r="C24" s="8" t="s">
        <v>68</v>
      </c>
      <c r="D24" s="8" t="s">
        <v>69</v>
      </c>
      <c r="E24" s="8" t="s">
        <v>31</v>
      </c>
      <c r="F24" s="8" t="s">
        <v>10</v>
      </c>
      <c r="H24" t="str">
        <f t="shared" si="2"/>
        <v/>
      </c>
    </row>
    <row r="25" spans="1:8" x14ac:dyDescent="0.35">
      <c r="A25" s="8">
        <v>43</v>
      </c>
      <c r="B25" s="8" t="s">
        <v>64</v>
      </c>
      <c r="C25" s="8" t="s">
        <v>150</v>
      </c>
      <c r="D25" s="8" t="s">
        <v>47</v>
      </c>
      <c r="E25" s="8" t="s">
        <v>31</v>
      </c>
      <c r="F25" s="8" t="s">
        <v>10</v>
      </c>
      <c r="H25" t="str">
        <f t="shared" si="2"/>
        <v/>
      </c>
    </row>
    <row r="26" spans="1:8" x14ac:dyDescent="0.35">
      <c r="A26" s="7">
        <v>1</v>
      </c>
      <c r="B26" s="7" t="s">
        <v>29</v>
      </c>
      <c r="C26" s="7" t="s">
        <v>30</v>
      </c>
      <c r="D26" s="7" t="s">
        <v>24</v>
      </c>
      <c r="E26" s="7" t="s">
        <v>31</v>
      </c>
      <c r="F26" s="7" t="s">
        <v>26</v>
      </c>
      <c r="G26" t="str">
        <f t="shared" ref="G26" si="9">IF(COUNTIF(D26:D28,"SVP")+COUNTIF(D26:D28,"FDP")&gt;=2,"rechts",IF(COUNTIF(D26:D28,"SP")+COUNTIF(D26:D28,"Grüne")&gt;=2,"links",""))</f>
        <v/>
      </c>
      <c r="H26" t="str">
        <f t="shared" si="2"/>
        <v/>
      </c>
    </row>
    <row r="27" spans="1:8" x14ac:dyDescent="0.35">
      <c r="A27" s="7">
        <v>1</v>
      </c>
      <c r="B27" s="7" t="s">
        <v>29</v>
      </c>
      <c r="C27" s="7" t="s">
        <v>65</v>
      </c>
      <c r="D27" s="7" t="s">
        <v>8</v>
      </c>
      <c r="E27" s="7" t="s">
        <v>31</v>
      </c>
      <c r="F27" s="7" t="s">
        <v>26</v>
      </c>
      <c r="H27" t="str">
        <f t="shared" si="2"/>
        <v/>
      </c>
    </row>
    <row r="28" spans="1:8" x14ac:dyDescent="0.35">
      <c r="A28" s="7">
        <v>1</v>
      </c>
      <c r="B28" s="7" t="s">
        <v>29</v>
      </c>
      <c r="C28" s="7" t="s">
        <v>156</v>
      </c>
      <c r="D28" s="7" t="s">
        <v>157</v>
      </c>
      <c r="E28" s="7" t="s">
        <v>31</v>
      </c>
      <c r="F28" s="7" t="s">
        <v>26</v>
      </c>
      <c r="H28" t="str">
        <f t="shared" si="2"/>
        <v/>
      </c>
    </row>
    <row r="29" spans="1:8" x14ac:dyDescent="0.35">
      <c r="A29">
        <v>91</v>
      </c>
      <c r="B29" s="13" t="s">
        <v>119</v>
      </c>
      <c r="C29" s="13" t="s">
        <v>35</v>
      </c>
      <c r="D29" s="13" t="s">
        <v>36</v>
      </c>
      <c r="E29" s="13" t="s">
        <v>31</v>
      </c>
      <c r="F29" s="13" t="s">
        <v>10</v>
      </c>
      <c r="G29" t="str">
        <f t="shared" ref="G29" si="10">IF(COUNTIF(D29:D31,"SVP")+COUNTIF(D29:D31,"FDP")&gt;=2,"rechts",IF(COUNTIF(D29:D31,"SP")+COUNTIF(D29:D31,"Grüne")&gt;=2,"links",""))</f>
        <v/>
      </c>
      <c r="H29" t="str">
        <f t="shared" si="2"/>
        <v/>
      </c>
    </row>
    <row r="30" spans="1:8" x14ac:dyDescent="0.35">
      <c r="A30">
        <v>91</v>
      </c>
      <c r="B30" s="13" t="s">
        <v>119</v>
      </c>
      <c r="C30" s="13" t="s">
        <v>150</v>
      </c>
      <c r="D30" s="13" t="s">
        <v>47</v>
      </c>
      <c r="E30" s="13" t="s">
        <v>31</v>
      </c>
      <c r="F30" s="13" t="s">
        <v>10</v>
      </c>
      <c r="H30" t="str">
        <f t="shared" si="2"/>
        <v/>
      </c>
    </row>
    <row r="31" spans="1:8" x14ac:dyDescent="0.35">
      <c r="A31">
        <v>91</v>
      </c>
      <c r="B31" s="13" t="s">
        <v>119</v>
      </c>
      <c r="C31" s="13" t="s">
        <v>165</v>
      </c>
      <c r="D31" s="13" t="s">
        <v>8</v>
      </c>
      <c r="E31" s="13" t="s">
        <v>31</v>
      </c>
      <c r="F31" s="13" t="s">
        <v>10</v>
      </c>
      <c r="H31" t="str">
        <f t="shared" si="2"/>
        <v/>
      </c>
    </row>
    <row r="32" spans="1:8" x14ac:dyDescent="0.35">
      <c r="A32" s="2">
        <v>39</v>
      </c>
      <c r="B32" s="2" t="s">
        <v>59</v>
      </c>
      <c r="C32" s="2" t="s">
        <v>52</v>
      </c>
      <c r="D32" s="2" t="s">
        <v>53</v>
      </c>
      <c r="E32" s="2" t="s">
        <v>31</v>
      </c>
      <c r="F32" s="2" t="s">
        <v>26</v>
      </c>
      <c r="G32" t="str">
        <f t="shared" ref="G32" si="11">IF(COUNTIF(D32:D34,"SVP")+COUNTIF(D32:D34,"FDP")&gt;=2,"rechts",IF(COUNTIF(D32:D34,"SP")+COUNTIF(D32:D34,"Grüne")&gt;=2,"links",""))</f>
        <v/>
      </c>
      <c r="H32" t="str">
        <f t="shared" si="2"/>
        <v/>
      </c>
    </row>
    <row r="33" spans="1:8" x14ac:dyDescent="0.35">
      <c r="A33" s="2">
        <v>39</v>
      </c>
      <c r="B33" s="2" t="s">
        <v>59</v>
      </c>
      <c r="C33" s="2" t="s">
        <v>35</v>
      </c>
      <c r="D33" s="2" t="s">
        <v>36</v>
      </c>
      <c r="E33" s="2" t="s">
        <v>31</v>
      </c>
      <c r="F33" s="2" t="s">
        <v>26</v>
      </c>
      <c r="H33" t="str">
        <f t="shared" si="2"/>
        <v/>
      </c>
    </row>
    <row r="34" spans="1:8" x14ac:dyDescent="0.35">
      <c r="A34" s="2">
        <v>39</v>
      </c>
      <c r="B34" s="2" t="s">
        <v>59</v>
      </c>
      <c r="C34" s="2" t="s">
        <v>146</v>
      </c>
      <c r="D34" s="2" t="s">
        <v>13</v>
      </c>
      <c r="E34" s="2" t="s">
        <v>31</v>
      </c>
      <c r="F34" s="2" t="s">
        <v>26</v>
      </c>
      <c r="H34" t="str">
        <f t="shared" si="2"/>
        <v/>
      </c>
    </row>
    <row r="35" spans="1:8" x14ac:dyDescent="0.35">
      <c r="A35">
        <v>40</v>
      </c>
      <c r="B35" s="14" t="s">
        <v>61</v>
      </c>
      <c r="C35" s="14" t="s">
        <v>52</v>
      </c>
      <c r="D35" s="14" t="s">
        <v>53</v>
      </c>
      <c r="E35" s="14" t="s">
        <v>31</v>
      </c>
      <c r="F35" s="14" t="s">
        <v>26</v>
      </c>
      <c r="G35" t="str">
        <f t="shared" ref="G35" si="12">IF(COUNTIF(D35:D37,"SVP")+COUNTIF(D35:D37,"FDP")&gt;=2,"rechts",IF(COUNTIF(D35:D37,"SP")+COUNTIF(D35:D37,"Grüne")&gt;=2,"links",""))</f>
        <v/>
      </c>
      <c r="H35" t="str">
        <f t="shared" si="2"/>
        <v/>
      </c>
    </row>
    <row r="36" spans="1:8" x14ac:dyDescent="0.35">
      <c r="A36">
        <v>40</v>
      </c>
      <c r="B36" s="14" t="s">
        <v>61</v>
      </c>
      <c r="C36" s="14" t="s">
        <v>35</v>
      </c>
      <c r="D36" s="14" t="s">
        <v>36</v>
      </c>
      <c r="E36" s="14" t="s">
        <v>31</v>
      </c>
      <c r="F36" s="14" t="s">
        <v>26</v>
      </c>
      <c r="H36" t="str">
        <f t="shared" si="2"/>
        <v/>
      </c>
    </row>
    <row r="37" spans="1:8" x14ac:dyDescent="0.35">
      <c r="A37">
        <v>40</v>
      </c>
      <c r="B37" s="14" t="s">
        <v>61</v>
      </c>
      <c r="C37" s="14" t="s">
        <v>146</v>
      </c>
      <c r="D37" s="14" t="s">
        <v>13</v>
      </c>
      <c r="E37" s="14" t="s">
        <v>31</v>
      </c>
      <c r="F37" s="14" t="s">
        <v>26</v>
      </c>
      <c r="H37" t="str">
        <f t="shared" si="2"/>
        <v/>
      </c>
    </row>
    <row r="38" spans="1:8" x14ac:dyDescent="0.35">
      <c r="A38">
        <v>87</v>
      </c>
      <c r="B38" s="15" t="s">
        <v>114</v>
      </c>
      <c r="C38" s="15" t="s">
        <v>23</v>
      </c>
      <c r="D38" s="15" t="s">
        <v>24</v>
      </c>
      <c r="E38" s="15" t="s">
        <v>14</v>
      </c>
      <c r="F38" s="15" t="s">
        <v>15</v>
      </c>
      <c r="G38" t="str">
        <f t="shared" ref="G38" si="13">IF(COUNTIF(D38:D40,"SVP")+COUNTIF(D38:D40,"FDP")&gt;=2,"rechts",IF(COUNTIF(D38:D40,"SP")+COUNTIF(D38:D40,"Grüne")&gt;=2,"links",""))</f>
        <v>rechts</v>
      </c>
      <c r="H38" t="str">
        <f t="shared" si="2"/>
        <v>rechts_kein_erfolg</v>
      </c>
    </row>
    <row r="39" spans="1:8" x14ac:dyDescent="0.35">
      <c r="A39">
        <v>87</v>
      </c>
      <c r="B39" s="15" t="s">
        <v>114</v>
      </c>
      <c r="C39" s="15" t="s">
        <v>149</v>
      </c>
      <c r="D39" s="15" t="s">
        <v>13</v>
      </c>
      <c r="E39" s="15" t="s">
        <v>14</v>
      </c>
      <c r="F39" s="15" t="s">
        <v>15</v>
      </c>
      <c r="H39" t="str">
        <f t="shared" si="2"/>
        <v/>
      </c>
    </row>
    <row r="40" spans="1:8" x14ac:dyDescent="0.35">
      <c r="A40">
        <v>87</v>
      </c>
      <c r="B40" s="15" t="s">
        <v>114</v>
      </c>
      <c r="C40" s="15" t="s">
        <v>159</v>
      </c>
      <c r="D40" s="15" t="s">
        <v>69</v>
      </c>
      <c r="E40" s="15" t="s">
        <v>14</v>
      </c>
      <c r="F40" s="15" t="s">
        <v>15</v>
      </c>
      <c r="H40" t="str">
        <f t="shared" si="2"/>
        <v/>
      </c>
    </row>
    <row r="41" spans="1:8" x14ac:dyDescent="0.35">
      <c r="A41">
        <v>88</v>
      </c>
      <c r="B41" s="5" t="s">
        <v>115</v>
      </c>
      <c r="C41" s="5" t="s">
        <v>23</v>
      </c>
      <c r="D41" s="5" t="s">
        <v>24</v>
      </c>
      <c r="E41" s="5" t="s">
        <v>14</v>
      </c>
      <c r="F41" s="5" t="s">
        <v>26</v>
      </c>
      <c r="G41" t="str">
        <f t="shared" ref="G41" si="14">IF(COUNTIF(D41:D43,"SVP")+COUNTIF(D41:D43,"FDP")&gt;=2,"rechts",IF(COUNTIF(D41:D43,"SP")+COUNTIF(D41:D43,"Grüne")&gt;=2,"links",""))</f>
        <v/>
      </c>
      <c r="H41" t="str">
        <f t="shared" si="2"/>
        <v/>
      </c>
    </row>
    <row r="42" spans="1:8" x14ac:dyDescent="0.35">
      <c r="A42">
        <v>88</v>
      </c>
      <c r="B42" s="5" t="s">
        <v>115</v>
      </c>
      <c r="C42" s="5" t="s">
        <v>149</v>
      </c>
      <c r="D42" s="5" t="s">
        <v>13</v>
      </c>
      <c r="E42" s="5" t="s">
        <v>14</v>
      </c>
      <c r="F42" s="5" t="s">
        <v>26</v>
      </c>
      <c r="H42" t="str">
        <f t="shared" si="2"/>
        <v/>
      </c>
    </row>
    <row r="43" spans="1:8" x14ac:dyDescent="0.35">
      <c r="A43">
        <v>88</v>
      </c>
      <c r="B43" s="5" t="s">
        <v>115</v>
      </c>
      <c r="C43" s="5" t="s">
        <v>139</v>
      </c>
      <c r="D43" s="5" t="s">
        <v>53</v>
      </c>
      <c r="E43" s="5" t="s">
        <v>14</v>
      </c>
      <c r="F43" s="5" t="s">
        <v>26</v>
      </c>
      <c r="H43" t="str">
        <f t="shared" si="2"/>
        <v/>
      </c>
    </row>
    <row r="44" spans="1:8" x14ac:dyDescent="0.35">
      <c r="A44">
        <v>41</v>
      </c>
      <c r="B44" s="4" t="s">
        <v>62</v>
      </c>
      <c r="C44" s="4" t="s">
        <v>23</v>
      </c>
      <c r="D44" s="4" t="s">
        <v>24</v>
      </c>
      <c r="E44" s="4" t="s">
        <v>14</v>
      </c>
      <c r="F44" s="4" t="s">
        <v>26</v>
      </c>
      <c r="G44" t="str">
        <f t="shared" ref="G44" si="15">IF(COUNTIF(D44:D46,"SVP")+COUNTIF(D44:D46,"FDP")&gt;=2,"rechts",IF(COUNTIF(D44:D46,"SP")+COUNTIF(D44:D46,"Grüne")&gt;=2,"links",""))</f>
        <v/>
      </c>
      <c r="H44" t="str">
        <f t="shared" si="2"/>
        <v/>
      </c>
    </row>
    <row r="45" spans="1:8" x14ac:dyDescent="0.35">
      <c r="A45">
        <v>41</v>
      </c>
      <c r="B45" s="4" t="s">
        <v>62</v>
      </c>
      <c r="C45" s="4" t="s">
        <v>139</v>
      </c>
      <c r="D45" s="4" t="s">
        <v>53</v>
      </c>
      <c r="E45" s="4" t="s">
        <v>14</v>
      </c>
      <c r="F45" s="4" t="s">
        <v>26</v>
      </c>
      <c r="H45" t="str">
        <f t="shared" si="2"/>
        <v/>
      </c>
    </row>
    <row r="46" spans="1:8" x14ac:dyDescent="0.35">
      <c r="A46">
        <v>41</v>
      </c>
      <c r="B46" s="4" t="s">
        <v>62</v>
      </c>
      <c r="C46" s="4" t="s">
        <v>159</v>
      </c>
      <c r="D46" s="4" t="s">
        <v>69</v>
      </c>
      <c r="E46" s="4" t="s">
        <v>14</v>
      </c>
      <c r="F46" s="4" t="s">
        <v>26</v>
      </c>
      <c r="H46" t="str">
        <f t="shared" si="2"/>
        <v/>
      </c>
    </row>
    <row r="47" spans="1:8" x14ac:dyDescent="0.35">
      <c r="A47">
        <v>98</v>
      </c>
      <c r="B47" s="8" t="s">
        <v>126</v>
      </c>
      <c r="C47" s="8" t="s">
        <v>23</v>
      </c>
      <c r="D47" s="8" t="s">
        <v>24</v>
      </c>
      <c r="E47" s="8" t="s">
        <v>110</v>
      </c>
      <c r="F47" s="8" t="s">
        <v>10</v>
      </c>
      <c r="G47" t="str">
        <f t="shared" ref="G47" si="16">IF(COUNTIF(D47:D49,"SVP")+COUNTIF(D47:D49,"FDP")&gt;=2,"rechts",IF(COUNTIF(D47:D49,"SP")+COUNTIF(D47:D49,"Grüne")&gt;=2,"links",""))</f>
        <v/>
      </c>
      <c r="H47" t="str">
        <f t="shared" si="2"/>
        <v/>
      </c>
    </row>
    <row r="48" spans="1:8" x14ac:dyDescent="0.35">
      <c r="A48">
        <v>98</v>
      </c>
      <c r="B48" s="8" t="s">
        <v>126</v>
      </c>
      <c r="C48" s="8" t="s">
        <v>139</v>
      </c>
      <c r="D48" s="8" t="s">
        <v>53</v>
      </c>
      <c r="E48" s="8" t="s">
        <v>110</v>
      </c>
      <c r="F48" s="8" t="s">
        <v>10</v>
      </c>
      <c r="H48" t="str">
        <f t="shared" si="2"/>
        <v/>
      </c>
    </row>
    <row r="49" spans="1:8" x14ac:dyDescent="0.35">
      <c r="A49">
        <v>98</v>
      </c>
      <c r="B49" s="8" t="s">
        <v>126</v>
      </c>
      <c r="C49" s="8" t="s">
        <v>167</v>
      </c>
      <c r="D49" s="8" t="s">
        <v>47</v>
      </c>
      <c r="E49" s="8" t="s">
        <v>110</v>
      </c>
      <c r="F49" s="8" t="s">
        <v>10</v>
      </c>
      <c r="H49" t="str">
        <f t="shared" si="2"/>
        <v/>
      </c>
    </row>
    <row r="50" spans="1:8" x14ac:dyDescent="0.35">
      <c r="A50">
        <v>65</v>
      </c>
      <c r="B50" s="15" t="s">
        <v>88</v>
      </c>
      <c r="C50" s="15" t="s">
        <v>12</v>
      </c>
      <c r="D50" s="15" t="s">
        <v>13</v>
      </c>
      <c r="E50" s="15" t="s">
        <v>14</v>
      </c>
      <c r="F50" s="15" t="s">
        <v>26</v>
      </c>
      <c r="G50" t="str">
        <f t="shared" ref="G50" si="17">IF(COUNTIF(D50:D52,"SVP")+COUNTIF(D50:D52,"FDP")&gt;=2,"rechts",IF(COUNTIF(D50:D52,"SP")+COUNTIF(D50:D52,"Grüne")&gt;=2,"links",""))</f>
        <v>rechts</v>
      </c>
      <c r="H50" t="str">
        <f t="shared" si="2"/>
        <v>rechts_kein_erfolg</v>
      </c>
    </row>
    <row r="51" spans="1:8" x14ac:dyDescent="0.35">
      <c r="A51">
        <v>65</v>
      </c>
      <c r="B51" s="15" t="s">
        <v>88</v>
      </c>
      <c r="C51" s="15" t="s">
        <v>135</v>
      </c>
      <c r="D51" s="15" t="s">
        <v>53</v>
      </c>
      <c r="E51" s="15" t="s">
        <v>14</v>
      </c>
      <c r="F51" s="15" t="s">
        <v>26</v>
      </c>
      <c r="H51" t="str">
        <f t="shared" si="2"/>
        <v/>
      </c>
    </row>
    <row r="52" spans="1:8" x14ac:dyDescent="0.35">
      <c r="A52">
        <v>65</v>
      </c>
      <c r="B52" s="15" t="s">
        <v>88</v>
      </c>
      <c r="C52" s="15" t="s">
        <v>155</v>
      </c>
      <c r="D52" s="15" t="s">
        <v>69</v>
      </c>
      <c r="E52" s="15" t="s">
        <v>14</v>
      </c>
      <c r="F52" s="15" t="s">
        <v>26</v>
      </c>
      <c r="H52" t="str">
        <f t="shared" si="2"/>
        <v/>
      </c>
    </row>
    <row r="53" spans="1:8" x14ac:dyDescent="0.35">
      <c r="A53">
        <v>29</v>
      </c>
      <c r="B53" s="16" t="s">
        <v>43</v>
      </c>
      <c r="C53" s="16" t="s">
        <v>12</v>
      </c>
      <c r="D53" s="16" t="s">
        <v>13</v>
      </c>
      <c r="E53" s="16" t="s">
        <v>14</v>
      </c>
      <c r="F53" s="16" t="s">
        <v>44</v>
      </c>
      <c r="G53" t="str">
        <f t="shared" ref="G53" si="18">IF(COUNTIF(D53:D55,"SVP")+COUNTIF(D53:D55,"FDP")&gt;=2,"rechts",IF(COUNTIF(D53:D55,"SP")+COUNTIF(D53:D55,"Grüne")&gt;=2,"links",""))</f>
        <v>rechts</v>
      </c>
      <c r="H53" t="str">
        <f t="shared" si="2"/>
        <v>rechts_kein_erfolg</v>
      </c>
    </row>
    <row r="54" spans="1:8" x14ac:dyDescent="0.35">
      <c r="A54">
        <v>29</v>
      </c>
      <c r="B54" s="16" t="s">
        <v>43</v>
      </c>
      <c r="C54" s="16" t="s">
        <v>136</v>
      </c>
      <c r="D54" s="16" t="s">
        <v>8</v>
      </c>
      <c r="E54" s="16" t="s">
        <v>14</v>
      </c>
      <c r="F54" s="16" t="s">
        <v>44</v>
      </c>
      <c r="H54" t="str">
        <f t="shared" si="2"/>
        <v/>
      </c>
    </row>
    <row r="55" spans="1:8" x14ac:dyDescent="0.35">
      <c r="A55">
        <v>29</v>
      </c>
      <c r="B55" s="16" t="s">
        <v>43</v>
      </c>
      <c r="C55" s="16" t="s">
        <v>155</v>
      </c>
      <c r="D55" s="16" t="s">
        <v>69</v>
      </c>
      <c r="E55" s="16" t="s">
        <v>14</v>
      </c>
      <c r="F55" s="16" t="s">
        <v>44</v>
      </c>
      <c r="H55" t="str">
        <f t="shared" si="2"/>
        <v/>
      </c>
    </row>
    <row r="56" spans="1:8" x14ac:dyDescent="0.35">
      <c r="A56">
        <v>16</v>
      </c>
      <c r="B56" s="14" t="s">
        <v>25</v>
      </c>
      <c r="C56" s="14" t="s">
        <v>12</v>
      </c>
      <c r="D56" s="14" t="s">
        <v>13</v>
      </c>
      <c r="E56" s="14" t="s">
        <v>14</v>
      </c>
      <c r="F56" s="14" t="s">
        <v>26</v>
      </c>
      <c r="G56" t="str">
        <f t="shared" ref="G56" si="19">IF(COUNTIF(D56:D58,"SVP")+COUNTIF(D56:D58,"FDP")&gt;=2,"rechts",IF(COUNTIF(D56:D58,"SP")+COUNTIF(D56:D58,"Grüne")&gt;=2,"links",""))</f>
        <v>rechts</v>
      </c>
      <c r="H56" t="str">
        <f t="shared" si="2"/>
        <v>rechts_kein_erfolg</v>
      </c>
    </row>
    <row r="57" spans="1:8" x14ac:dyDescent="0.35">
      <c r="A57">
        <v>16</v>
      </c>
      <c r="B57" s="14" t="s">
        <v>25</v>
      </c>
      <c r="C57" s="14" t="s">
        <v>131</v>
      </c>
      <c r="D57" s="14" t="s">
        <v>69</v>
      </c>
      <c r="E57" s="14" t="s">
        <v>14</v>
      </c>
      <c r="F57" s="14" t="s">
        <v>26</v>
      </c>
      <c r="H57" t="str">
        <f t="shared" si="2"/>
        <v/>
      </c>
    </row>
    <row r="58" spans="1:8" x14ac:dyDescent="0.35">
      <c r="A58">
        <v>16</v>
      </c>
      <c r="B58" s="14" t="s">
        <v>25</v>
      </c>
      <c r="C58" s="14" t="s">
        <v>155</v>
      </c>
      <c r="D58" s="14" t="s">
        <v>69</v>
      </c>
      <c r="E58" s="14" t="s">
        <v>14</v>
      </c>
      <c r="F58" s="14" t="s">
        <v>26</v>
      </c>
      <c r="H58" t="str">
        <f t="shared" si="2"/>
        <v/>
      </c>
    </row>
    <row r="59" spans="1:8" x14ac:dyDescent="0.35">
      <c r="A59">
        <v>23</v>
      </c>
      <c r="B59" s="2" t="s">
        <v>37</v>
      </c>
      <c r="C59" s="2" t="s">
        <v>12</v>
      </c>
      <c r="D59" s="2" t="s">
        <v>13</v>
      </c>
      <c r="E59" s="2" t="s">
        <v>14</v>
      </c>
      <c r="F59" s="2" t="s">
        <v>26</v>
      </c>
      <c r="G59" t="str">
        <f t="shared" ref="G59" si="20">IF(COUNTIF(D59:D61,"SVP")+COUNTIF(D59:D61,"FDP")&gt;=2,"rechts",IF(COUNTIF(D59:D61,"SP")+COUNTIF(D59:D61,"Grüne")&gt;=2,"links",""))</f>
        <v>links</v>
      </c>
      <c r="H59" t="str">
        <f t="shared" si="2"/>
        <v>links_kein_erfolg</v>
      </c>
    </row>
    <row r="60" spans="1:8" x14ac:dyDescent="0.35">
      <c r="A60">
        <v>23</v>
      </c>
      <c r="B60" s="2" t="s">
        <v>37</v>
      </c>
      <c r="C60" s="2" t="s">
        <v>135</v>
      </c>
      <c r="D60" s="2" t="s">
        <v>53</v>
      </c>
      <c r="E60" s="2" t="s">
        <v>14</v>
      </c>
      <c r="F60" s="2" t="s">
        <v>26</v>
      </c>
      <c r="H60" t="str">
        <f t="shared" si="2"/>
        <v/>
      </c>
    </row>
    <row r="61" spans="1:8" x14ac:dyDescent="0.35">
      <c r="A61">
        <v>23</v>
      </c>
      <c r="B61" s="2" t="s">
        <v>37</v>
      </c>
      <c r="C61" s="2" t="s">
        <v>136</v>
      </c>
      <c r="D61" s="2" t="s">
        <v>8</v>
      </c>
      <c r="E61" s="2" t="s">
        <v>14</v>
      </c>
      <c r="F61" s="2" t="s">
        <v>26</v>
      </c>
      <c r="H61" t="str">
        <f t="shared" si="2"/>
        <v/>
      </c>
    </row>
    <row r="62" spans="1:8" x14ac:dyDescent="0.35">
      <c r="A62">
        <v>30</v>
      </c>
      <c r="B62" s="17" t="s">
        <v>48</v>
      </c>
      <c r="C62" s="17" t="s">
        <v>12</v>
      </c>
      <c r="D62" s="17" t="s">
        <v>13</v>
      </c>
      <c r="E62" s="17" t="s">
        <v>14</v>
      </c>
      <c r="F62" s="17" t="s">
        <v>26</v>
      </c>
      <c r="G62" t="str">
        <f t="shared" ref="G62" si="21">IF(COUNTIF(D62:D64,"SVP")+COUNTIF(D62:D64,"FDP")&gt;=2,"rechts",IF(COUNTIF(D62:D64,"SP")+COUNTIF(D62:D64,"Grüne")&gt;=2,"links",""))</f>
        <v>rechts</v>
      </c>
      <c r="H62" t="str">
        <f t="shared" si="2"/>
        <v>rechts_kein_erfolg</v>
      </c>
    </row>
    <row r="63" spans="1:8" x14ac:dyDescent="0.35">
      <c r="A63">
        <v>30</v>
      </c>
      <c r="B63" s="17" t="s">
        <v>48</v>
      </c>
      <c r="C63" s="17" t="s">
        <v>135</v>
      </c>
      <c r="D63" s="17" t="s">
        <v>53</v>
      </c>
      <c r="E63" s="17" t="s">
        <v>14</v>
      </c>
      <c r="F63" s="17" t="s">
        <v>26</v>
      </c>
      <c r="H63" t="str">
        <f t="shared" si="2"/>
        <v/>
      </c>
    </row>
    <row r="64" spans="1:8" x14ac:dyDescent="0.35">
      <c r="A64">
        <v>30</v>
      </c>
      <c r="B64" s="17" t="s">
        <v>48</v>
      </c>
      <c r="C64" s="17" t="s">
        <v>155</v>
      </c>
      <c r="D64" s="17" t="s">
        <v>69</v>
      </c>
      <c r="E64" s="17" t="s">
        <v>14</v>
      </c>
      <c r="F64" s="17" t="s">
        <v>26</v>
      </c>
      <c r="H64" t="str">
        <f t="shared" si="2"/>
        <v/>
      </c>
    </row>
    <row r="65" spans="1:8" x14ac:dyDescent="0.35">
      <c r="A65">
        <v>25</v>
      </c>
      <c r="B65" s="9" t="s">
        <v>39</v>
      </c>
      <c r="C65" s="9" t="s">
        <v>12</v>
      </c>
      <c r="D65" s="9" t="s">
        <v>13</v>
      </c>
      <c r="E65" s="9" t="s">
        <v>14</v>
      </c>
      <c r="F65" s="9" t="s">
        <v>15</v>
      </c>
      <c r="G65" t="str">
        <f t="shared" ref="G65" si="22">IF(COUNTIF(D65:D67,"SVP")+COUNTIF(D65:D67,"FDP")&gt;=2,"rechts",IF(COUNTIF(D65:D67,"SP")+COUNTIF(D65:D67,"Grüne")&gt;=2,"links",""))</f>
        <v>rechts</v>
      </c>
      <c r="H65" t="str">
        <f t="shared" si="2"/>
        <v>rechts_kein_erfolg</v>
      </c>
    </row>
    <row r="66" spans="1:8" x14ac:dyDescent="0.35">
      <c r="A66">
        <v>25</v>
      </c>
      <c r="B66" s="9" t="s">
        <v>39</v>
      </c>
      <c r="C66" s="9" t="s">
        <v>136</v>
      </c>
      <c r="D66" s="9" t="s">
        <v>8</v>
      </c>
      <c r="E66" s="9" t="s">
        <v>14</v>
      </c>
      <c r="F66" s="9" t="s">
        <v>15</v>
      </c>
      <c r="H66" t="str">
        <f t="shared" si="2"/>
        <v/>
      </c>
    </row>
    <row r="67" spans="1:8" x14ac:dyDescent="0.35">
      <c r="A67">
        <v>25</v>
      </c>
      <c r="B67" s="9" t="s">
        <v>39</v>
      </c>
      <c r="C67" s="9" t="s">
        <v>155</v>
      </c>
      <c r="D67" s="9" t="s">
        <v>69</v>
      </c>
      <c r="E67" s="9" t="s">
        <v>14</v>
      </c>
      <c r="F67" s="9" t="s">
        <v>15</v>
      </c>
      <c r="H67" t="str">
        <f t="shared" si="2"/>
        <v/>
      </c>
    </row>
    <row r="68" spans="1:8" x14ac:dyDescent="0.35">
      <c r="A68">
        <v>66</v>
      </c>
      <c r="B68" s="4" t="s">
        <v>89</v>
      </c>
      <c r="C68" s="4" t="s">
        <v>12</v>
      </c>
      <c r="D68" s="4" t="s">
        <v>13</v>
      </c>
      <c r="E68" s="4" t="s">
        <v>14</v>
      </c>
      <c r="F68" s="4" t="s">
        <v>15</v>
      </c>
      <c r="G68" t="str">
        <f t="shared" ref="G68" si="23">IF(COUNTIF(D68:D70,"SVP")+COUNTIF(D68:D70,"FDP")&gt;=2,"rechts",IF(COUNTIF(D68:D70,"SP")+COUNTIF(D68:D70,"Grüne")&gt;=2,"links",""))</f>
        <v>rechts</v>
      </c>
      <c r="H68" t="str">
        <f t="shared" si="2"/>
        <v>rechts_kein_erfolg</v>
      </c>
    </row>
    <row r="69" spans="1:8" x14ac:dyDescent="0.35">
      <c r="A69">
        <v>66</v>
      </c>
      <c r="B69" s="4" t="s">
        <v>89</v>
      </c>
      <c r="C69" s="4" t="s">
        <v>135</v>
      </c>
      <c r="D69" s="4" t="s">
        <v>53</v>
      </c>
      <c r="E69" s="4" t="s">
        <v>14</v>
      </c>
      <c r="F69" s="4" t="s">
        <v>15</v>
      </c>
      <c r="H69" t="str">
        <f t="shared" si="2"/>
        <v/>
      </c>
    </row>
    <row r="70" spans="1:8" x14ac:dyDescent="0.35">
      <c r="A70">
        <v>66</v>
      </c>
      <c r="B70" s="4" t="s">
        <v>89</v>
      </c>
      <c r="C70" s="4" t="s">
        <v>155</v>
      </c>
      <c r="D70" s="4" t="s">
        <v>69</v>
      </c>
      <c r="E70" s="4" t="s">
        <v>14</v>
      </c>
      <c r="F70" s="4" t="s">
        <v>15</v>
      </c>
      <c r="H70" t="str">
        <f t="shared" ref="H70:H133" si="24">IF(AND(OR(F70="gutgeheissen",F70="teilweise gutgeheissen"),G70="rechts"),"rechts_gutgeheissen",IF(G70="rechts","rechts_kein_erfolg",IF(AND(OR(F70="gutgeheissen",F70="teilweise gutgeheissen"),G70="links"),"links_gutgeheissen",IF(G70="links","links_kein_erfolg",""))))</f>
        <v/>
      </c>
    </row>
    <row r="71" spans="1:8" x14ac:dyDescent="0.35">
      <c r="A71">
        <v>34</v>
      </c>
      <c r="B71" s="2" t="s">
        <v>54</v>
      </c>
      <c r="C71" s="2" t="s">
        <v>12</v>
      </c>
      <c r="D71" s="2" t="s">
        <v>13</v>
      </c>
      <c r="E71" s="2" t="s">
        <v>14</v>
      </c>
      <c r="F71" s="2" t="s">
        <v>21</v>
      </c>
      <c r="G71" t="str">
        <f t="shared" ref="G71" si="25">IF(COUNTIF(D71:D73,"SVP")+COUNTIF(D71:D73,"FDP")&gt;=2,"rechts",IF(COUNTIF(D71:D73,"SP")+COUNTIF(D71:D73,"Grüne")&gt;=2,"links",""))</f>
        <v>links</v>
      </c>
      <c r="H71" t="str">
        <f t="shared" si="24"/>
        <v>links_gutgeheissen</v>
      </c>
    </row>
    <row r="72" spans="1:8" x14ac:dyDescent="0.35">
      <c r="A72">
        <v>34</v>
      </c>
      <c r="B72" s="2" t="s">
        <v>54</v>
      </c>
      <c r="C72" s="2" t="s">
        <v>135</v>
      </c>
      <c r="D72" s="2" t="s">
        <v>53</v>
      </c>
      <c r="E72" s="2" t="s">
        <v>14</v>
      </c>
      <c r="F72" s="2" t="s">
        <v>21</v>
      </c>
      <c r="H72" t="str">
        <f t="shared" si="24"/>
        <v/>
      </c>
    </row>
    <row r="73" spans="1:8" x14ac:dyDescent="0.35">
      <c r="A73">
        <v>34</v>
      </c>
      <c r="B73" s="2" t="s">
        <v>54</v>
      </c>
      <c r="C73" s="2" t="s">
        <v>136</v>
      </c>
      <c r="D73" s="2" t="s">
        <v>8</v>
      </c>
      <c r="E73" s="2" t="s">
        <v>14</v>
      </c>
      <c r="F73" s="2" t="s">
        <v>21</v>
      </c>
      <c r="H73" t="str">
        <f t="shared" si="24"/>
        <v/>
      </c>
    </row>
    <row r="74" spans="1:8" x14ac:dyDescent="0.35">
      <c r="A74">
        <v>26</v>
      </c>
      <c r="B74" s="6" t="s">
        <v>40</v>
      </c>
      <c r="C74" s="6" t="s">
        <v>12</v>
      </c>
      <c r="D74" s="6" t="s">
        <v>13</v>
      </c>
      <c r="E74" s="6" t="s">
        <v>14</v>
      </c>
      <c r="F74" s="6" t="s">
        <v>26</v>
      </c>
      <c r="G74" t="str">
        <f t="shared" ref="G74" si="26">IF(COUNTIF(D74:D76,"SVP")+COUNTIF(D74:D76,"FDP")&gt;=2,"rechts",IF(COUNTIF(D74:D76,"SP")+COUNTIF(D74:D76,"Grüne")&gt;=2,"links",""))</f>
        <v>rechts</v>
      </c>
      <c r="H74" t="str">
        <f t="shared" si="24"/>
        <v>rechts_kein_erfolg</v>
      </c>
    </row>
    <row r="75" spans="1:8" x14ac:dyDescent="0.35">
      <c r="A75">
        <v>26</v>
      </c>
      <c r="B75" s="6" t="s">
        <v>40</v>
      </c>
      <c r="C75" s="6" t="s">
        <v>136</v>
      </c>
      <c r="D75" s="6" t="s">
        <v>8</v>
      </c>
      <c r="E75" s="6" t="s">
        <v>14</v>
      </c>
      <c r="F75" s="6" t="s">
        <v>26</v>
      </c>
      <c r="H75" t="str">
        <f t="shared" si="24"/>
        <v/>
      </c>
    </row>
    <row r="76" spans="1:8" x14ac:dyDescent="0.35">
      <c r="A76">
        <v>26</v>
      </c>
      <c r="B76" s="6" t="s">
        <v>40</v>
      </c>
      <c r="C76" s="6" t="s">
        <v>155</v>
      </c>
      <c r="D76" s="6" t="s">
        <v>69</v>
      </c>
      <c r="E76" s="6" t="s">
        <v>14</v>
      </c>
      <c r="F76" s="6" t="s">
        <v>26</v>
      </c>
      <c r="H76" t="str">
        <f t="shared" si="24"/>
        <v/>
      </c>
    </row>
    <row r="77" spans="1:8" x14ac:dyDescent="0.35">
      <c r="A77">
        <v>59</v>
      </c>
      <c r="B77" s="20" t="s">
        <v>81</v>
      </c>
      <c r="C77" s="20" t="s">
        <v>19</v>
      </c>
      <c r="D77" s="20" t="s">
        <v>13</v>
      </c>
      <c r="E77" s="20" t="s">
        <v>9</v>
      </c>
      <c r="F77" s="20" t="s">
        <v>26</v>
      </c>
      <c r="G77" t="str">
        <f t="shared" ref="G77" si="27">IF(COUNTIF(D77:D79,"SVP")+COUNTIF(D77:D79,"FDP")&gt;=2,"rechts",IF(COUNTIF(D77:D79,"SP")+COUNTIF(D77:D79,"Grüne")&gt;=2,"links",""))</f>
        <v>rechts</v>
      </c>
      <c r="H77" t="str">
        <f t="shared" si="24"/>
        <v>rechts_kein_erfolg</v>
      </c>
    </row>
    <row r="78" spans="1:8" x14ac:dyDescent="0.35">
      <c r="A78">
        <v>59</v>
      </c>
      <c r="B78" s="20" t="s">
        <v>81</v>
      </c>
      <c r="C78" s="20" t="s">
        <v>146</v>
      </c>
      <c r="D78" s="20" t="s">
        <v>13</v>
      </c>
      <c r="E78" s="20" t="s">
        <v>9</v>
      </c>
      <c r="F78" s="20" t="s">
        <v>26</v>
      </c>
      <c r="H78" t="str">
        <f t="shared" si="24"/>
        <v/>
      </c>
    </row>
    <row r="79" spans="1:8" x14ac:dyDescent="0.35">
      <c r="A79">
        <v>59</v>
      </c>
      <c r="B79" s="20" t="s">
        <v>81</v>
      </c>
      <c r="C79" s="20" t="s">
        <v>147</v>
      </c>
      <c r="D79" s="20" t="s">
        <v>47</v>
      </c>
      <c r="E79" s="20" t="s">
        <v>9</v>
      </c>
      <c r="F79" s="20" t="s">
        <v>26</v>
      </c>
      <c r="H79" t="str">
        <f t="shared" si="24"/>
        <v/>
      </c>
    </row>
    <row r="80" spans="1:8" x14ac:dyDescent="0.35">
      <c r="A80">
        <v>19</v>
      </c>
      <c r="B80" s="17" t="s">
        <v>28</v>
      </c>
      <c r="C80" s="17" t="s">
        <v>19</v>
      </c>
      <c r="D80" s="17" t="s">
        <v>13</v>
      </c>
      <c r="E80" s="17" t="s">
        <v>9</v>
      </c>
      <c r="F80" s="17" t="s">
        <v>26</v>
      </c>
      <c r="G80" t="str">
        <f t="shared" ref="G80" si="28">IF(COUNTIF(D80:D82,"SVP")+COUNTIF(D80:D82,"FDP")&gt;=2,"rechts",IF(COUNTIF(D80:D82,"SP")+COUNTIF(D80:D82,"Grüne")&gt;=2,"links",""))</f>
        <v/>
      </c>
      <c r="H80" t="str">
        <f t="shared" si="24"/>
        <v/>
      </c>
    </row>
    <row r="81" spans="1:8" x14ac:dyDescent="0.35">
      <c r="A81">
        <v>19</v>
      </c>
      <c r="B81" s="17" t="s">
        <v>28</v>
      </c>
      <c r="C81" s="17" t="s">
        <v>133</v>
      </c>
      <c r="D81" s="17" t="s">
        <v>8</v>
      </c>
      <c r="E81" s="17" t="s">
        <v>9</v>
      </c>
      <c r="F81" s="17" t="s">
        <v>26</v>
      </c>
      <c r="H81" t="str">
        <f t="shared" si="24"/>
        <v/>
      </c>
    </row>
    <row r="82" spans="1:8" x14ac:dyDescent="0.35">
      <c r="A82">
        <v>19</v>
      </c>
      <c r="B82" s="17" t="s">
        <v>28</v>
      </c>
      <c r="C82" s="17" t="s">
        <v>147</v>
      </c>
      <c r="D82" s="17" t="s">
        <v>47</v>
      </c>
      <c r="E82" s="17" t="s">
        <v>9</v>
      </c>
      <c r="F82" s="17" t="s">
        <v>26</v>
      </c>
      <c r="H82" t="str">
        <f t="shared" si="24"/>
        <v/>
      </c>
    </row>
    <row r="83" spans="1:8" x14ac:dyDescent="0.35">
      <c r="A83">
        <v>67</v>
      </c>
      <c r="B83" s="20" t="s">
        <v>90</v>
      </c>
      <c r="C83" s="20" t="s">
        <v>46</v>
      </c>
      <c r="D83" s="20" t="s">
        <v>47</v>
      </c>
      <c r="E83" s="20" t="s">
        <v>9</v>
      </c>
      <c r="F83" s="20" t="s">
        <v>26</v>
      </c>
      <c r="G83" t="str">
        <f t="shared" ref="G83" si="29">IF(COUNTIF(D83:D85,"SVP")+COUNTIF(D83:D85,"FDP")&gt;=2,"rechts",IF(COUNTIF(D83:D85,"SP")+COUNTIF(D83:D85,"Grüne")&gt;=2,"links",""))</f>
        <v/>
      </c>
      <c r="H83" t="str">
        <f t="shared" si="24"/>
        <v/>
      </c>
    </row>
    <row r="84" spans="1:8" x14ac:dyDescent="0.35">
      <c r="A84">
        <v>67</v>
      </c>
      <c r="B84" s="20" t="s">
        <v>90</v>
      </c>
      <c r="C84" s="20" t="s">
        <v>133</v>
      </c>
      <c r="D84" s="20" t="s">
        <v>8</v>
      </c>
      <c r="E84" s="20" t="s">
        <v>9</v>
      </c>
      <c r="F84" s="20" t="s">
        <v>26</v>
      </c>
      <c r="H84" t="str">
        <f t="shared" si="24"/>
        <v/>
      </c>
    </row>
    <row r="85" spans="1:8" x14ac:dyDescent="0.35">
      <c r="A85">
        <v>67</v>
      </c>
      <c r="B85" s="20" t="s">
        <v>90</v>
      </c>
      <c r="C85" s="20" t="s">
        <v>145</v>
      </c>
      <c r="D85" s="20" t="s">
        <v>69</v>
      </c>
      <c r="E85" s="20" t="s">
        <v>9</v>
      </c>
      <c r="F85" s="20" t="s">
        <v>26</v>
      </c>
      <c r="H85" t="str">
        <f t="shared" si="24"/>
        <v/>
      </c>
    </row>
    <row r="86" spans="1:8" x14ac:dyDescent="0.35">
      <c r="A86">
        <v>2</v>
      </c>
      <c r="B86" s="14" t="s">
        <v>45</v>
      </c>
      <c r="C86" s="14" t="s">
        <v>46</v>
      </c>
      <c r="D86" s="14" t="s">
        <v>47</v>
      </c>
      <c r="E86" s="14" t="s">
        <v>9</v>
      </c>
      <c r="F86" s="14" t="s">
        <v>26</v>
      </c>
      <c r="G86" t="str">
        <f t="shared" ref="G86" si="30">IF(COUNTIF(D86:D88,"SVP")+COUNTIF(D86:D88,"FDP")&gt;=2,"rechts",IF(COUNTIF(D86:D88,"SP")+COUNTIF(D86:D88,"Grüne")&gt;=2,"links",""))</f>
        <v/>
      </c>
      <c r="H86" t="str">
        <f t="shared" si="24"/>
        <v/>
      </c>
    </row>
    <row r="87" spans="1:8" x14ac:dyDescent="0.35">
      <c r="A87">
        <v>2</v>
      </c>
      <c r="B87" s="14" t="s">
        <v>45</v>
      </c>
      <c r="C87" s="14" t="s">
        <v>133</v>
      </c>
      <c r="D87" s="14" t="s">
        <v>8</v>
      </c>
      <c r="E87" s="14" t="s">
        <v>9</v>
      </c>
      <c r="F87" s="14" t="s">
        <v>26</v>
      </c>
      <c r="H87" t="str">
        <f t="shared" si="24"/>
        <v/>
      </c>
    </row>
    <row r="88" spans="1:8" x14ac:dyDescent="0.35">
      <c r="A88">
        <v>2</v>
      </c>
      <c r="B88" s="14" t="s">
        <v>45</v>
      </c>
      <c r="C88" s="14" t="s">
        <v>147</v>
      </c>
      <c r="D88" s="14" t="s">
        <v>47</v>
      </c>
      <c r="E88" s="14" t="s">
        <v>9</v>
      </c>
      <c r="F88" s="14" t="s">
        <v>26</v>
      </c>
      <c r="H88" t="str">
        <f t="shared" si="24"/>
        <v/>
      </c>
    </row>
    <row r="89" spans="1:8" x14ac:dyDescent="0.35">
      <c r="A89">
        <v>28</v>
      </c>
      <c r="B89" s="2" t="s">
        <v>42</v>
      </c>
      <c r="C89" s="2" t="s">
        <v>19</v>
      </c>
      <c r="D89" s="2" t="s">
        <v>13</v>
      </c>
      <c r="E89" s="2" t="s">
        <v>9</v>
      </c>
      <c r="F89" s="2" t="s">
        <v>26</v>
      </c>
      <c r="G89" t="str">
        <f t="shared" ref="G89" si="31">IF(COUNTIF(D89:D91,"SVP")+COUNTIF(D89:D91,"FDP")&gt;=2,"rechts",IF(COUNTIF(D89:D91,"SP")+COUNTIF(D89:D91,"Grüne")&gt;=2,"links",""))</f>
        <v>rechts</v>
      </c>
      <c r="H89" t="str">
        <f t="shared" si="24"/>
        <v>rechts_kein_erfolg</v>
      </c>
    </row>
    <row r="90" spans="1:8" x14ac:dyDescent="0.35">
      <c r="A90">
        <v>28</v>
      </c>
      <c r="B90" s="2" t="s">
        <v>42</v>
      </c>
      <c r="C90" s="2" t="s">
        <v>138</v>
      </c>
      <c r="D90" s="2" t="s">
        <v>69</v>
      </c>
      <c r="E90" s="2" t="s">
        <v>9</v>
      </c>
      <c r="F90" s="2" t="s">
        <v>26</v>
      </c>
      <c r="H90" t="str">
        <f t="shared" si="24"/>
        <v/>
      </c>
    </row>
    <row r="91" spans="1:8" x14ac:dyDescent="0.35">
      <c r="A91">
        <v>28</v>
      </c>
      <c r="B91" s="2" t="s">
        <v>42</v>
      </c>
      <c r="C91" s="2" t="s">
        <v>145</v>
      </c>
      <c r="D91" s="2" t="s">
        <v>69</v>
      </c>
      <c r="E91" s="2" t="s">
        <v>9</v>
      </c>
      <c r="F91" s="2" t="s">
        <v>26</v>
      </c>
      <c r="H91" t="str">
        <f t="shared" si="24"/>
        <v/>
      </c>
    </row>
    <row r="92" spans="1:8" x14ac:dyDescent="0.35">
      <c r="A92">
        <v>63</v>
      </c>
      <c r="B92" s="3" t="s">
        <v>86</v>
      </c>
      <c r="C92" s="3" t="s">
        <v>19</v>
      </c>
      <c r="D92" s="3" t="s">
        <v>13</v>
      </c>
      <c r="E92" s="3" t="s">
        <v>9</v>
      </c>
      <c r="F92" s="3" t="s">
        <v>26</v>
      </c>
      <c r="G92" t="str">
        <f t="shared" ref="G92" si="32">IF(COUNTIF(D92:D94,"SVP")+COUNTIF(D92:D94,"FDP")&gt;=2,"rechts",IF(COUNTIF(D92:D94,"SP")+COUNTIF(D92:D94,"Grüne")&gt;=2,"links",""))</f>
        <v>rechts</v>
      </c>
      <c r="H92" t="str">
        <f t="shared" si="24"/>
        <v>rechts_kein_erfolg</v>
      </c>
    </row>
    <row r="93" spans="1:8" x14ac:dyDescent="0.35">
      <c r="A93">
        <v>63</v>
      </c>
      <c r="B93" s="3" t="s">
        <v>86</v>
      </c>
      <c r="C93" s="3" t="s">
        <v>147</v>
      </c>
      <c r="D93" s="3" t="s">
        <v>47</v>
      </c>
      <c r="E93" s="3" t="s">
        <v>9</v>
      </c>
      <c r="F93" s="3" t="s">
        <v>26</v>
      </c>
      <c r="H93" t="str">
        <f t="shared" si="24"/>
        <v/>
      </c>
    </row>
    <row r="94" spans="1:8" x14ac:dyDescent="0.35">
      <c r="A94">
        <v>63</v>
      </c>
      <c r="B94" s="3" t="s">
        <v>86</v>
      </c>
      <c r="C94" s="3" t="s">
        <v>162</v>
      </c>
      <c r="D94" s="3" t="s">
        <v>13</v>
      </c>
      <c r="E94" s="3" t="s">
        <v>9</v>
      </c>
      <c r="F94" s="3" t="s">
        <v>26</v>
      </c>
      <c r="H94" t="str">
        <f t="shared" si="24"/>
        <v/>
      </c>
    </row>
    <row r="95" spans="1:8" x14ac:dyDescent="0.35">
      <c r="A95">
        <v>60</v>
      </c>
      <c r="B95" s="2" t="s">
        <v>83</v>
      </c>
      <c r="C95" s="2" t="s">
        <v>19</v>
      </c>
      <c r="D95" s="2" t="s">
        <v>13</v>
      </c>
      <c r="E95" s="2" t="s">
        <v>9</v>
      </c>
      <c r="F95" s="2" t="s">
        <v>26</v>
      </c>
      <c r="G95" t="str">
        <f t="shared" ref="G95" si="33">IF(COUNTIF(D95:D97,"SVP")+COUNTIF(D95:D97,"FDP")&gt;=2,"rechts",IF(COUNTIF(D95:D97,"SP")+COUNTIF(D95:D97,"Grüne")&gt;=2,"links",""))</f>
        <v>rechts</v>
      </c>
      <c r="H95" t="str">
        <f t="shared" si="24"/>
        <v>rechts_kein_erfolg</v>
      </c>
    </row>
    <row r="96" spans="1:8" x14ac:dyDescent="0.35">
      <c r="A96">
        <v>60</v>
      </c>
      <c r="B96" s="2" t="s">
        <v>83</v>
      </c>
      <c r="C96" s="2" t="s">
        <v>138</v>
      </c>
      <c r="D96" s="2" t="s">
        <v>69</v>
      </c>
      <c r="E96" s="2" t="s">
        <v>9</v>
      </c>
      <c r="F96" s="2" t="s">
        <v>26</v>
      </c>
      <c r="H96" t="str">
        <f t="shared" si="24"/>
        <v/>
      </c>
    </row>
    <row r="97" spans="1:8" x14ac:dyDescent="0.35">
      <c r="A97">
        <v>60</v>
      </c>
      <c r="B97" s="2" t="s">
        <v>83</v>
      </c>
      <c r="C97" s="2" t="s">
        <v>133</v>
      </c>
      <c r="D97" s="2" t="s">
        <v>8</v>
      </c>
      <c r="E97" s="2" t="s">
        <v>9</v>
      </c>
      <c r="F97" s="2" t="s">
        <v>26</v>
      </c>
      <c r="H97" t="str">
        <f t="shared" si="24"/>
        <v/>
      </c>
    </row>
    <row r="98" spans="1:8" x14ac:dyDescent="0.35">
      <c r="A98">
        <v>18</v>
      </c>
      <c r="B98" s="17" t="s">
        <v>27</v>
      </c>
      <c r="C98" s="17" t="s">
        <v>19</v>
      </c>
      <c r="D98" s="17" t="s">
        <v>13</v>
      </c>
      <c r="E98" s="17" t="s">
        <v>9</v>
      </c>
      <c r="F98" s="17" t="s">
        <v>26</v>
      </c>
      <c r="G98" t="str">
        <f t="shared" ref="G98" si="34">IF(COUNTIF(D98:D100,"SVP")+COUNTIF(D98:D100,"FDP")&gt;=2,"rechts",IF(COUNTIF(D98:D100,"SP")+COUNTIF(D98:D100,"Grüne")&gt;=2,"links",""))</f>
        <v/>
      </c>
      <c r="H98" t="str">
        <f t="shared" si="24"/>
        <v/>
      </c>
    </row>
    <row r="99" spans="1:8" x14ac:dyDescent="0.35">
      <c r="A99">
        <v>18</v>
      </c>
      <c r="B99" s="17" t="s">
        <v>27</v>
      </c>
      <c r="C99" s="17" t="s">
        <v>133</v>
      </c>
      <c r="D99" s="17" t="s">
        <v>8</v>
      </c>
      <c r="E99" s="17" t="s">
        <v>9</v>
      </c>
      <c r="F99" s="17" t="s">
        <v>26</v>
      </c>
      <c r="H99" t="str">
        <f t="shared" si="24"/>
        <v/>
      </c>
    </row>
    <row r="100" spans="1:8" x14ac:dyDescent="0.35">
      <c r="A100">
        <v>18</v>
      </c>
      <c r="B100" s="17" t="s">
        <v>27</v>
      </c>
      <c r="C100" s="17" t="s">
        <v>147</v>
      </c>
      <c r="D100" s="17" t="s">
        <v>47</v>
      </c>
      <c r="E100" s="17" t="s">
        <v>9</v>
      </c>
      <c r="F100" s="17" t="s">
        <v>26</v>
      </c>
      <c r="H100" t="str">
        <f t="shared" si="24"/>
        <v/>
      </c>
    </row>
    <row r="101" spans="1:8" x14ac:dyDescent="0.35">
      <c r="A101">
        <v>47</v>
      </c>
      <c r="B101" s="7" t="s">
        <v>71</v>
      </c>
      <c r="C101" s="7" t="s">
        <v>19</v>
      </c>
      <c r="D101" s="7" t="s">
        <v>13</v>
      </c>
      <c r="E101" s="7" t="s">
        <v>9</v>
      </c>
      <c r="F101" s="7" t="s">
        <v>26</v>
      </c>
      <c r="G101" t="str">
        <f t="shared" ref="G101" si="35">IF(COUNTIF(D101:D103,"SVP")+COUNTIF(D101:D103,"FDP")&gt;=2,"rechts",IF(COUNTIF(D101:D103,"SP")+COUNTIF(D101:D103,"Grüne")&gt;=2,"links",""))</f>
        <v>rechts</v>
      </c>
      <c r="H101" t="str">
        <f t="shared" si="24"/>
        <v>rechts_kein_erfolg</v>
      </c>
    </row>
    <row r="102" spans="1:8" x14ac:dyDescent="0.35">
      <c r="A102">
        <v>47</v>
      </c>
      <c r="B102" s="7" t="s">
        <v>71</v>
      </c>
      <c r="C102" s="7" t="s">
        <v>46</v>
      </c>
      <c r="D102" s="7" t="s">
        <v>47</v>
      </c>
      <c r="E102" s="7" t="s">
        <v>9</v>
      </c>
      <c r="F102" s="7" t="s">
        <v>26</v>
      </c>
      <c r="H102" t="str">
        <f t="shared" si="24"/>
        <v/>
      </c>
    </row>
    <row r="103" spans="1:8" x14ac:dyDescent="0.35">
      <c r="A103">
        <v>47</v>
      </c>
      <c r="B103" s="7" t="s">
        <v>71</v>
      </c>
      <c r="C103" s="7" t="s">
        <v>145</v>
      </c>
      <c r="D103" s="7" t="s">
        <v>69</v>
      </c>
      <c r="E103" s="7" t="s">
        <v>9</v>
      </c>
      <c r="F103" s="7" t="s">
        <v>26</v>
      </c>
      <c r="H103" t="str">
        <f t="shared" si="24"/>
        <v/>
      </c>
    </row>
    <row r="104" spans="1:8" x14ac:dyDescent="0.35">
      <c r="A104">
        <v>90</v>
      </c>
      <c r="B104" s="8" t="s">
        <v>118</v>
      </c>
      <c r="C104" s="8" t="s">
        <v>19</v>
      </c>
      <c r="D104" s="8" t="s">
        <v>13</v>
      </c>
      <c r="E104" s="8" t="s">
        <v>9</v>
      </c>
      <c r="F104" s="8" t="s">
        <v>26</v>
      </c>
      <c r="G104" t="str">
        <f t="shared" ref="G104" si="36">IF(COUNTIF(D104:D106,"SVP")+COUNTIF(D104:D106,"FDP")&gt;=2,"rechts",IF(COUNTIF(D104:D106,"SP")+COUNTIF(D104:D106,"Grüne")&gt;=2,"links",""))</f>
        <v>rechts</v>
      </c>
      <c r="H104" t="str">
        <f t="shared" si="24"/>
        <v>rechts_kein_erfolg</v>
      </c>
    </row>
    <row r="105" spans="1:8" x14ac:dyDescent="0.35">
      <c r="A105">
        <v>90</v>
      </c>
      <c r="B105" s="8" t="s">
        <v>118</v>
      </c>
      <c r="C105" s="8" t="s">
        <v>145</v>
      </c>
      <c r="D105" s="8" t="s">
        <v>69</v>
      </c>
      <c r="E105" s="8" t="s">
        <v>9</v>
      </c>
      <c r="F105" s="8" t="s">
        <v>26</v>
      </c>
      <c r="H105" t="str">
        <f t="shared" si="24"/>
        <v/>
      </c>
    </row>
    <row r="106" spans="1:8" x14ac:dyDescent="0.35">
      <c r="A106">
        <v>90</v>
      </c>
      <c r="B106" s="8" t="s">
        <v>118</v>
      </c>
      <c r="C106" s="8" t="s">
        <v>147</v>
      </c>
      <c r="D106" s="8" t="s">
        <v>47</v>
      </c>
      <c r="E106" s="8" t="s">
        <v>9</v>
      </c>
      <c r="F106" s="8" t="s">
        <v>26</v>
      </c>
      <c r="H106" t="str">
        <f t="shared" si="24"/>
        <v/>
      </c>
    </row>
    <row r="107" spans="1:8" x14ac:dyDescent="0.35">
      <c r="A107">
        <v>57</v>
      </c>
      <c r="B107" s="16" t="s">
        <v>79</v>
      </c>
      <c r="C107" s="16" t="s">
        <v>46</v>
      </c>
      <c r="D107" s="16" t="s">
        <v>47</v>
      </c>
      <c r="E107" s="16" t="s">
        <v>9</v>
      </c>
      <c r="F107" s="16" t="s">
        <v>26</v>
      </c>
      <c r="G107" t="str">
        <f t="shared" ref="G107" si="37">IF(COUNTIF(D107:D109,"SVP")+COUNTIF(D107:D109,"FDP")&gt;=2,"rechts",IF(COUNTIF(D107:D109,"SP")+COUNTIF(D107:D109,"Grüne")&gt;=2,"links",""))</f>
        <v/>
      </c>
      <c r="H107" t="str">
        <f t="shared" si="24"/>
        <v/>
      </c>
    </row>
    <row r="108" spans="1:8" x14ac:dyDescent="0.35">
      <c r="A108">
        <v>57</v>
      </c>
      <c r="B108" s="16" t="s">
        <v>79</v>
      </c>
      <c r="C108" s="16" t="s">
        <v>145</v>
      </c>
      <c r="D108" s="16" t="s">
        <v>69</v>
      </c>
      <c r="E108" s="16" t="s">
        <v>9</v>
      </c>
      <c r="F108" s="16" t="s">
        <v>26</v>
      </c>
      <c r="H108" t="str">
        <f t="shared" si="24"/>
        <v/>
      </c>
    </row>
    <row r="109" spans="1:8" x14ac:dyDescent="0.35">
      <c r="A109">
        <v>57</v>
      </c>
      <c r="B109" s="16" t="s">
        <v>79</v>
      </c>
      <c r="C109" s="16" t="s">
        <v>161</v>
      </c>
      <c r="D109" s="16" t="s">
        <v>8</v>
      </c>
      <c r="E109" s="16" t="s">
        <v>9</v>
      </c>
      <c r="F109" s="16" t="s">
        <v>26</v>
      </c>
      <c r="H109" t="str">
        <f t="shared" si="24"/>
        <v/>
      </c>
    </row>
    <row r="110" spans="1:8" x14ac:dyDescent="0.35">
      <c r="A110">
        <v>61</v>
      </c>
      <c r="B110" s="18" t="s">
        <v>84</v>
      </c>
      <c r="C110" s="18" t="s">
        <v>19</v>
      </c>
      <c r="D110" s="18" t="s">
        <v>13</v>
      </c>
      <c r="E110" s="18" t="s">
        <v>9</v>
      </c>
      <c r="F110" s="18" t="s">
        <v>26</v>
      </c>
      <c r="G110" t="str">
        <f t="shared" ref="G110" si="38">IF(COUNTIF(D110:D112,"SVP")+COUNTIF(D110:D112,"FDP")&gt;=2,"rechts",IF(COUNTIF(D110:D112,"SP")+COUNTIF(D110:D112,"Grüne")&gt;=2,"links",""))</f>
        <v>rechts</v>
      </c>
      <c r="H110" t="str">
        <f t="shared" si="24"/>
        <v>rechts_kein_erfolg</v>
      </c>
    </row>
    <row r="111" spans="1:8" x14ac:dyDescent="0.35">
      <c r="A111">
        <v>61</v>
      </c>
      <c r="B111" s="18" t="s">
        <v>84</v>
      </c>
      <c r="C111" s="18" t="s">
        <v>145</v>
      </c>
      <c r="D111" s="18" t="s">
        <v>69</v>
      </c>
      <c r="E111" s="18" t="s">
        <v>9</v>
      </c>
      <c r="F111" s="18" t="s">
        <v>26</v>
      </c>
      <c r="H111" t="str">
        <f t="shared" si="24"/>
        <v/>
      </c>
    </row>
    <row r="112" spans="1:8" x14ac:dyDescent="0.35">
      <c r="A112">
        <v>61</v>
      </c>
      <c r="B112" s="18" t="s">
        <v>84</v>
      </c>
      <c r="C112" s="18" t="s">
        <v>162</v>
      </c>
      <c r="D112" s="18" t="s">
        <v>13</v>
      </c>
      <c r="E112" s="18" t="s">
        <v>9</v>
      </c>
      <c r="F112" s="18" t="s">
        <v>26</v>
      </c>
      <c r="H112" t="str">
        <f t="shared" si="24"/>
        <v/>
      </c>
    </row>
    <row r="113" spans="1:8" x14ac:dyDescent="0.35">
      <c r="A113">
        <v>70</v>
      </c>
      <c r="B113" s="2" t="s">
        <v>94</v>
      </c>
      <c r="C113" s="2" t="s">
        <v>19</v>
      </c>
      <c r="D113" s="2" t="s">
        <v>13</v>
      </c>
      <c r="E113" s="2" t="s">
        <v>9</v>
      </c>
      <c r="F113" s="2" t="s">
        <v>21</v>
      </c>
      <c r="G113" t="str">
        <f t="shared" ref="G113" si="39">IF(COUNTIF(D113:D115,"SVP")+COUNTIF(D113:D115,"FDP")&gt;=2,"rechts",IF(COUNTIF(D113:D115,"SP")+COUNTIF(D113:D115,"Grüne")&gt;=2,"links",""))</f>
        <v/>
      </c>
      <c r="H113" t="str">
        <f t="shared" si="24"/>
        <v/>
      </c>
    </row>
    <row r="114" spans="1:8" x14ac:dyDescent="0.35">
      <c r="A114">
        <v>70</v>
      </c>
      <c r="B114" s="2" t="s">
        <v>94</v>
      </c>
      <c r="C114" s="2" t="s">
        <v>35</v>
      </c>
      <c r="D114" s="2" t="s">
        <v>36</v>
      </c>
      <c r="E114" s="2" t="s">
        <v>9</v>
      </c>
      <c r="F114" s="2" t="s">
        <v>21</v>
      </c>
      <c r="H114" t="str">
        <f t="shared" si="24"/>
        <v/>
      </c>
    </row>
    <row r="115" spans="1:8" x14ac:dyDescent="0.35">
      <c r="A115">
        <v>70</v>
      </c>
      <c r="B115" s="2" t="s">
        <v>94</v>
      </c>
      <c r="C115" s="2" t="s">
        <v>133</v>
      </c>
      <c r="D115" s="2" t="s">
        <v>8</v>
      </c>
      <c r="E115" s="2" t="s">
        <v>9</v>
      </c>
      <c r="F115" s="2" t="s">
        <v>21</v>
      </c>
      <c r="H115" t="str">
        <f t="shared" si="24"/>
        <v/>
      </c>
    </row>
    <row r="116" spans="1:8" x14ac:dyDescent="0.35">
      <c r="A116">
        <v>20</v>
      </c>
      <c r="B116" s="3" t="s">
        <v>32</v>
      </c>
      <c r="C116" s="3" t="s">
        <v>19</v>
      </c>
      <c r="D116" s="3" t="s">
        <v>13</v>
      </c>
      <c r="E116" s="3" t="s">
        <v>9</v>
      </c>
      <c r="F116" s="3" t="s">
        <v>26</v>
      </c>
      <c r="G116" t="str">
        <f t="shared" ref="G116" si="40">IF(COUNTIF(D116:D118,"SVP")+COUNTIF(D116:D118,"FDP")&gt;=2,"rechts",IF(COUNTIF(D116:D118,"SP")+COUNTIF(D116:D118,"Grüne")&gt;=2,"links",""))</f>
        <v>rechts</v>
      </c>
      <c r="H116" t="str">
        <f t="shared" si="24"/>
        <v>rechts_kein_erfolg</v>
      </c>
    </row>
    <row r="117" spans="1:8" x14ac:dyDescent="0.35">
      <c r="A117">
        <v>20</v>
      </c>
      <c r="B117" s="3" t="s">
        <v>32</v>
      </c>
      <c r="C117" s="3" t="s">
        <v>35</v>
      </c>
      <c r="D117" s="3" t="s">
        <v>36</v>
      </c>
      <c r="E117" s="3" t="s">
        <v>9</v>
      </c>
      <c r="F117" s="3" t="s">
        <v>26</v>
      </c>
      <c r="H117" t="str">
        <f t="shared" si="24"/>
        <v/>
      </c>
    </row>
    <row r="118" spans="1:8" x14ac:dyDescent="0.35">
      <c r="A118">
        <v>20</v>
      </c>
      <c r="B118" s="3" t="s">
        <v>32</v>
      </c>
      <c r="C118" s="3" t="s">
        <v>145</v>
      </c>
      <c r="D118" s="3" t="s">
        <v>69</v>
      </c>
      <c r="E118" s="3" t="s">
        <v>9</v>
      </c>
      <c r="F118" s="3" t="s">
        <v>26</v>
      </c>
      <c r="H118" t="str">
        <f t="shared" si="24"/>
        <v/>
      </c>
    </row>
    <row r="119" spans="1:8" x14ac:dyDescent="0.35">
      <c r="A119">
        <v>3</v>
      </c>
      <c r="B119" s="7" t="s">
        <v>60</v>
      </c>
      <c r="C119" s="7" t="s">
        <v>19</v>
      </c>
      <c r="D119" s="7" t="s">
        <v>13</v>
      </c>
      <c r="E119" s="7" t="s">
        <v>9</v>
      </c>
      <c r="F119" s="7" t="s">
        <v>26</v>
      </c>
      <c r="G119" t="str">
        <f t="shared" ref="G119" si="41">IF(COUNTIF(D119:D121,"SVP")+COUNTIF(D119:D121,"FDP")&gt;=2,"rechts",IF(COUNTIF(D119:D121,"SP")+COUNTIF(D119:D121,"Grüne")&gt;=2,"links",""))</f>
        <v>rechts</v>
      </c>
      <c r="H119" t="str">
        <f t="shared" si="24"/>
        <v>rechts_kein_erfolg</v>
      </c>
    </row>
    <row r="120" spans="1:8" x14ac:dyDescent="0.35">
      <c r="A120">
        <v>3</v>
      </c>
      <c r="B120" s="7" t="s">
        <v>60</v>
      </c>
      <c r="C120" s="7" t="s">
        <v>138</v>
      </c>
      <c r="D120" s="7" t="s">
        <v>69</v>
      </c>
      <c r="E120" s="7" t="s">
        <v>9</v>
      </c>
      <c r="F120" s="7" t="s">
        <v>26</v>
      </c>
      <c r="H120" t="str">
        <f t="shared" si="24"/>
        <v/>
      </c>
    </row>
    <row r="121" spans="1:8" x14ac:dyDescent="0.35">
      <c r="A121">
        <v>3</v>
      </c>
      <c r="B121" s="7" t="s">
        <v>60</v>
      </c>
      <c r="C121" s="7" t="s">
        <v>147</v>
      </c>
      <c r="D121" s="7" t="s">
        <v>47</v>
      </c>
      <c r="E121" s="7" t="s">
        <v>9</v>
      </c>
      <c r="F121" s="7" t="s">
        <v>26</v>
      </c>
      <c r="H121" t="str">
        <f t="shared" si="24"/>
        <v/>
      </c>
    </row>
    <row r="122" spans="1:8" x14ac:dyDescent="0.35">
      <c r="A122">
        <v>62</v>
      </c>
      <c r="B122" s="15" t="s">
        <v>85</v>
      </c>
      <c r="C122" s="15" t="s">
        <v>19</v>
      </c>
      <c r="D122" s="15" t="s">
        <v>13</v>
      </c>
      <c r="E122" s="15" t="s">
        <v>9</v>
      </c>
      <c r="F122" s="15" t="s">
        <v>21</v>
      </c>
      <c r="G122" t="str">
        <f t="shared" ref="G122" si="42">IF(COUNTIF(D122:D124,"SVP")+COUNTIF(D122:D124,"FDP")&gt;=2,"rechts",IF(COUNTIF(D122:D124,"SP")+COUNTIF(D122:D124,"Grüne")&gt;=2,"links",""))</f>
        <v/>
      </c>
      <c r="H122" t="str">
        <f t="shared" si="24"/>
        <v/>
      </c>
    </row>
    <row r="123" spans="1:8" x14ac:dyDescent="0.35">
      <c r="A123">
        <v>62</v>
      </c>
      <c r="B123" s="15" t="s">
        <v>85</v>
      </c>
      <c r="C123" s="15" t="s">
        <v>35</v>
      </c>
      <c r="D123" s="15" t="s">
        <v>36</v>
      </c>
      <c r="E123" s="15" t="s">
        <v>9</v>
      </c>
      <c r="F123" s="15" t="s">
        <v>21</v>
      </c>
      <c r="H123" t="str">
        <f t="shared" si="24"/>
        <v/>
      </c>
    </row>
    <row r="124" spans="1:8" x14ac:dyDescent="0.35">
      <c r="A124">
        <v>62</v>
      </c>
      <c r="B124" s="15" t="s">
        <v>85</v>
      </c>
      <c r="C124" s="15" t="s">
        <v>133</v>
      </c>
      <c r="D124" s="15" t="s">
        <v>8</v>
      </c>
      <c r="E124" s="15" t="s">
        <v>9</v>
      </c>
      <c r="F124" s="15" t="s">
        <v>21</v>
      </c>
      <c r="H124" t="str">
        <f t="shared" si="24"/>
        <v/>
      </c>
    </row>
    <row r="125" spans="1:8" x14ac:dyDescent="0.35">
      <c r="A125">
        <v>68</v>
      </c>
      <c r="B125" s="17" t="s">
        <v>91</v>
      </c>
      <c r="C125" s="17" t="s">
        <v>7</v>
      </c>
      <c r="D125" s="17" t="s">
        <v>8</v>
      </c>
      <c r="E125" s="17" t="s">
        <v>9</v>
      </c>
      <c r="F125" s="17" t="s">
        <v>26</v>
      </c>
      <c r="G125" t="str">
        <f t="shared" ref="G125" si="43">IF(COUNTIF(D125:D127,"SVP")+COUNTIF(D125:D127,"FDP")&gt;=2,"rechts",IF(COUNTIF(D125:D127,"SP")+COUNTIF(D125:D127,"Grüne")&gt;=2,"links",""))</f>
        <v>links</v>
      </c>
      <c r="H125" t="str">
        <f t="shared" si="24"/>
        <v>links_kein_erfolg</v>
      </c>
    </row>
    <row r="126" spans="1:8" x14ac:dyDescent="0.35">
      <c r="A126">
        <v>68</v>
      </c>
      <c r="B126" s="17" t="s">
        <v>91</v>
      </c>
      <c r="C126" s="17" t="s">
        <v>128</v>
      </c>
      <c r="D126" s="17" t="s">
        <v>8</v>
      </c>
      <c r="E126" s="17" t="s">
        <v>9</v>
      </c>
      <c r="F126" s="17" t="s">
        <v>26</v>
      </c>
      <c r="H126" t="str">
        <f t="shared" si="24"/>
        <v/>
      </c>
    </row>
    <row r="127" spans="1:8" x14ac:dyDescent="0.35">
      <c r="A127">
        <v>68</v>
      </c>
      <c r="B127" s="17" t="s">
        <v>91</v>
      </c>
      <c r="C127" s="17" t="s">
        <v>130</v>
      </c>
      <c r="D127" s="17" t="s">
        <v>53</v>
      </c>
      <c r="E127" s="17" t="s">
        <v>9</v>
      </c>
      <c r="F127" s="17" t="s">
        <v>26</v>
      </c>
      <c r="H127" t="str">
        <f t="shared" si="24"/>
        <v/>
      </c>
    </row>
    <row r="128" spans="1:8" x14ac:dyDescent="0.35">
      <c r="A128">
        <v>64</v>
      </c>
      <c r="B128" s="4" t="s">
        <v>87</v>
      </c>
      <c r="C128" s="4" t="s">
        <v>7</v>
      </c>
      <c r="D128" s="4" t="s">
        <v>8</v>
      </c>
      <c r="E128" s="4" t="s">
        <v>9</v>
      </c>
      <c r="F128" s="4" t="s">
        <v>26</v>
      </c>
      <c r="G128" t="str">
        <f t="shared" ref="G128" si="44">IF(COUNTIF(D128:D130,"SVP")+COUNTIF(D128:D130,"FDP")&gt;=2,"rechts",IF(COUNTIF(D128:D130,"SP")+COUNTIF(D128:D130,"Grüne")&gt;=2,"links",""))</f>
        <v>links</v>
      </c>
      <c r="H128" t="str">
        <f t="shared" si="24"/>
        <v>links_kein_erfolg</v>
      </c>
    </row>
    <row r="129" spans="1:8" x14ac:dyDescent="0.35">
      <c r="A129">
        <v>64</v>
      </c>
      <c r="B129" s="4" t="s">
        <v>87</v>
      </c>
      <c r="C129" s="4" t="s">
        <v>130</v>
      </c>
      <c r="D129" s="4" t="s">
        <v>53</v>
      </c>
      <c r="E129" s="4" t="s">
        <v>9</v>
      </c>
      <c r="F129" s="4" t="s">
        <v>26</v>
      </c>
      <c r="H129" t="str">
        <f t="shared" si="24"/>
        <v/>
      </c>
    </row>
    <row r="130" spans="1:8" x14ac:dyDescent="0.35">
      <c r="A130">
        <v>64</v>
      </c>
      <c r="B130" s="4" t="s">
        <v>87</v>
      </c>
      <c r="C130" s="4" t="s">
        <v>154</v>
      </c>
      <c r="D130" s="4" t="s">
        <v>47</v>
      </c>
      <c r="E130" s="4" t="s">
        <v>9</v>
      </c>
      <c r="F130" s="4" t="s">
        <v>26</v>
      </c>
      <c r="H130" t="str">
        <f t="shared" si="24"/>
        <v/>
      </c>
    </row>
    <row r="131" spans="1:8" x14ac:dyDescent="0.35">
      <c r="A131">
        <v>21</v>
      </c>
      <c r="B131" s="2" t="s">
        <v>33</v>
      </c>
      <c r="C131" s="2" t="s">
        <v>7</v>
      </c>
      <c r="D131" s="2" t="s">
        <v>8</v>
      </c>
      <c r="E131" s="2" t="s">
        <v>9</v>
      </c>
      <c r="F131" s="2" t="s">
        <v>26</v>
      </c>
      <c r="G131" t="str">
        <f t="shared" ref="G131" si="45">IF(COUNTIF(D131:D133,"SVP")+COUNTIF(D131:D133,"FDP")&gt;=2,"rechts",IF(COUNTIF(D131:D133,"SP")+COUNTIF(D131:D133,"Grüne")&gt;=2,"links",""))</f>
        <v>rechts</v>
      </c>
      <c r="H131" t="str">
        <f t="shared" si="24"/>
        <v>rechts_kein_erfolg</v>
      </c>
    </row>
    <row r="132" spans="1:8" x14ac:dyDescent="0.35">
      <c r="A132">
        <v>21</v>
      </c>
      <c r="B132" s="2" t="s">
        <v>33</v>
      </c>
      <c r="C132" s="2" t="s">
        <v>134</v>
      </c>
      <c r="D132" s="2" t="s">
        <v>69</v>
      </c>
      <c r="E132" s="2" t="s">
        <v>9</v>
      </c>
      <c r="F132" s="2" t="s">
        <v>26</v>
      </c>
      <c r="H132" t="str">
        <f t="shared" si="24"/>
        <v/>
      </c>
    </row>
    <row r="133" spans="1:8" x14ac:dyDescent="0.35">
      <c r="A133">
        <v>21</v>
      </c>
      <c r="B133" s="2" t="s">
        <v>33</v>
      </c>
      <c r="C133" s="2" t="s">
        <v>158</v>
      </c>
      <c r="D133" s="2" t="s">
        <v>69</v>
      </c>
      <c r="E133" s="2" t="s">
        <v>9</v>
      </c>
      <c r="F133" s="2" t="s">
        <v>26</v>
      </c>
      <c r="H133" t="str">
        <f t="shared" si="24"/>
        <v/>
      </c>
    </row>
    <row r="134" spans="1:8" x14ac:dyDescent="0.35">
      <c r="A134">
        <v>99</v>
      </c>
      <c r="B134" s="20" t="s">
        <v>127</v>
      </c>
      <c r="C134" s="20" t="s">
        <v>128</v>
      </c>
      <c r="D134" s="20" t="s">
        <v>8</v>
      </c>
      <c r="E134" s="20" t="s">
        <v>9</v>
      </c>
      <c r="F134" s="20" t="s">
        <v>26</v>
      </c>
      <c r="G134" t="str">
        <f t="shared" ref="G134" si="46">IF(COUNTIF(D134:D136,"SVP")+COUNTIF(D134:D136,"FDP")&gt;=2,"rechts",IF(COUNTIF(D134:D136,"SP")+COUNTIF(D134:D136,"Grüne")&gt;=2,"links",""))</f>
        <v>links</v>
      </c>
      <c r="H134" t="str">
        <f t="shared" ref="H134:H172" si="47">IF(AND(OR(F134="gutgeheissen",F134="teilweise gutgeheissen"),G134="rechts"),"rechts_gutgeheissen",IF(G134="rechts","rechts_kein_erfolg",IF(AND(OR(F134="gutgeheissen",F134="teilweise gutgeheissen"),G134="links"),"links_gutgeheissen",IF(G134="links","links_kein_erfolg",""))))</f>
        <v>links_kein_erfolg</v>
      </c>
    </row>
    <row r="135" spans="1:8" x14ac:dyDescent="0.35">
      <c r="A135">
        <v>99</v>
      </c>
      <c r="B135" s="20" t="s">
        <v>127</v>
      </c>
      <c r="C135" s="20" t="s">
        <v>130</v>
      </c>
      <c r="D135" s="20" t="s">
        <v>53</v>
      </c>
      <c r="E135" s="20" t="s">
        <v>9</v>
      </c>
      <c r="F135" s="20" t="s">
        <v>26</v>
      </c>
      <c r="H135" t="str">
        <f t="shared" si="47"/>
        <v/>
      </c>
    </row>
    <row r="136" spans="1:8" x14ac:dyDescent="0.35">
      <c r="A136">
        <v>99</v>
      </c>
      <c r="B136" s="20" t="s">
        <v>127</v>
      </c>
      <c r="C136" s="20" t="s">
        <v>154</v>
      </c>
      <c r="D136" s="20" t="s">
        <v>47</v>
      </c>
      <c r="E136" s="20" t="s">
        <v>9</v>
      </c>
      <c r="F136" s="20" t="s">
        <v>26</v>
      </c>
      <c r="H136" t="str">
        <f t="shared" si="47"/>
        <v/>
      </c>
    </row>
    <row r="137" spans="1:8" x14ac:dyDescent="0.35">
      <c r="A137">
        <v>74</v>
      </c>
      <c r="B137" s="18" t="s">
        <v>98</v>
      </c>
      <c r="C137" s="18" t="s">
        <v>7</v>
      </c>
      <c r="D137" s="18" t="s">
        <v>8</v>
      </c>
      <c r="E137" s="18" t="s">
        <v>9</v>
      </c>
      <c r="F137" s="18" t="s">
        <v>10</v>
      </c>
      <c r="G137" t="str">
        <f t="shared" ref="G137" si="48">IF(COUNTIF(D137:D139,"SVP")+COUNTIF(D137:D139,"FDP")&gt;=2,"rechts",IF(COUNTIF(D137:D139,"SP")+COUNTIF(D137:D139,"Grüne")&gt;=2,"links",""))</f>
        <v>links</v>
      </c>
      <c r="H137" t="str">
        <f t="shared" si="47"/>
        <v>links_gutgeheissen</v>
      </c>
    </row>
    <row r="138" spans="1:8" x14ac:dyDescent="0.35">
      <c r="A138">
        <v>74</v>
      </c>
      <c r="B138" s="18" t="s">
        <v>98</v>
      </c>
      <c r="C138" s="18" t="s">
        <v>130</v>
      </c>
      <c r="D138" s="18" t="s">
        <v>53</v>
      </c>
      <c r="E138" s="18" t="s">
        <v>9</v>
      </c>
      <c r="F138" s="18" t="s">
        <v>10</v>
      </c>
      <c r="H138" t="str">
        <f t="shared" si="47"/>
        <v/>
      </c>
    </row>
    <row r="139" spans="1:8" x14ac:dyDescent="0.35">
      <c r="A139">
        <v>74</v>
      </c>
      <c r="B139" s="18" t="s">
        <v>98</v>
      </c>
      <c r="C139" s="18" t="s">
        <v>154</v>
      </c>
      <c r="D139" s="18" t="s">
        <v>47</v>
      </c>
      <c r="E139" s="18" t="s">
        <v>9</v>
      </c>
      <c r="F139" s="18" t="s">
        <v>10</v>
      </c>
      <c r="H139" t="str">
        <f t="shared" si="47"/>
        <v/>
      </c>
    </row>
    <row r="140" spans="1:8" s="4" customFormat="1" x14ac:dyDescent="0.35">
      <c r="A140" s="4">
        <v>100</v>
      </c>
      <c r="B140" s="4" t="s">
        <v>6</v>
      </c>
      <c r="C140" s="4" t="s">
        <v>7</v>
      </c>
      <c r="D140" s="4" t="s">
        <v>8</v>
      </c>
      <c r="E140" s="4" t="s">
        <v>9</v>
      </c>
      <c r="F140" s="4" t="s">
        <v>10</v>
      </c>
      <c r="G140" t="str">
        <f t="shared" ref="G140" si="49">IF(COUNTIF(D140:D142,"SVP")+COUNTIF(D140:D142,"FDP")&gt;=2,"rechts",IF(COUNTIF(D140:D142,"SP")+COUNTIF(D140:D142,"Grüne")&gt;=2,"links",""))</f>
        <v>links</v>
      </c>
      <c r="H140" t="str">
        <f t="shared" si="47"/>
        <v>links_gutgeheissen</v>
      </c>
    </row>
    <row r="141" spans="1:8" s="4" customFormat="1" x14ac:dyDescent="0.35">
      <c r="A141" s="4">
        <v>100</v>
      </c>
      <c r="B141" s="4" t="s">
        <v>6</v>
      </c>
      <c r="C141" s="4" t="s">
        <v>130</v>
      </c>
      <c r="D141" s="4" t="s">
        <v>53</v>
      </c>
      <c r="E141" s="4" t="s">
        <v>9</v>
      </c>
      <c r="F141" s="4" t="s">
        <v>10</v>
      </c>
      <c r="G141"/>
      <c r="H141" t="str">
        <f t="shared" si="47"/>
        <v/>
      </c>
    </row>
    <row r="142" spans="1:8" s="4" customFormat="1" x14ac:dyDescent="0.35">
      <c r="A142" s="4">
        <v>100</v>
      </c>
      <c r="B142" s="4" t="s">
        <v>6</v>
      </c>
      <c r="C142" s="4" t="s">
        <v>154</v>
      </c>
      <c r="D142" s="4" t="s">
        <v>47</v>
      </c>
      <c r="E142" s="4" t="s">
        <v>9</v>
      </c>
      <c r="F142" s="4" t="s">
        <v>10</v>
      </c>
      <c r="G142"/>
      <c r="H142" t="str">
        <f t="shared" si="47"/>
        <v/>
      </c>
    </row>
    <row r="143" spans="1:8" x14ac:dyDescent="0.35">
      <c r="A143">
        <v>50</v>
      </c>
      <c r="B143" s="3" t="s">
        <v>75</v>
      </c>
      <c r="C143" s="3" t="s">
        <v>7</v>
      </c>
      <c r="D143" s="3" t="s">
        <v>8</v>
      </c>
      <c r="E143" s="3" t="s">
        <v>9</v>
      </c>
      <c r="F143" s="3" t="s">
        <v>26</v>
      </c>
      <c r="G143" t="str">
        <f t="shared" ref="G143" si="50">IF(COUNTIF(D143:D145,"SVP")+COUNTIF(D143:D145,"FDP")&gt;=2,"rechts",IF(COUNTIF(D143:D145,"SP")+COUNTIF(D143:D145,"Grüne")&gt;=2,"links",""))</f>
        <v/>
      </c>
      <c r="H143" t="str">
        <f t="shared" si="47"/>
        <v/>
      </c>
    </row>
    <row r="144" spans="1:8" x14ac:dyDescent="0.35">
      <c r="A144">
        <v>50</v>
      </c>
      <c r="B144" s="3" t="s">
        <v>75</v>
      </c>
      <c r="C144" s="3" t="s">
        <v>134</v>
      </c>
      <c r="D144" s="3" t="s">
        <v>69</v>
      </c>
      <c r="E144" s="3" t="s">
        <v>9</v>
      </c>
      <c r="F144" s="3" t="s">
        <v>26</v>
      </c>
      <c r="H144" t="str">
        <f t="shared" si="47"/>
        <v/>
      </c>
    </row>
    <row r="145" spans="1:8" x14ac:dyDescent="0.35">
      <c r="A145">
        <v>50</v>
      </c>
      <c r="B145" s="3" t="s">
        <v>75</v>
      </c>
      <c r="C145" s="3" t="s">
        <v>154</v>
      </c>
      <c r="D145" s="3" t="s">
        <v>47</v>
      </c>
      <c r="E145" s="3" t="s">
        <v>9</v>
      </c>
      <c r="F145" s="3" t="s">
        <v>26</v>
      </c>
      <c r="H145" t="str">
        <f t="shared" si="47"/>
        <v/>
      </c>
    </row>
    <row r="146" spans="1:8" x14ac:dyDescent="0.35">
      <c r="A146">
        <v>14</v>
      </c>
      <c r="B146" s="2" t="s">
        <v>20</v>
      </c>
      <c r="C146" s="2" t="s">
        <v>7</v>
      </c>
      <c r="D146" s="2" t="s">
        <v>8</v>
      </c>
      <c r="E146" s="2" t="s">
        <v>9</v>
      </c>
      <c r="F146" s="2" t="s">
        <v>21</v>
      </c>
      <c r="G146" t="str">
        <f t="shared" ref="G146" si="51">IF(COUNTIF(D146:D148,"SVP")+COUNTIF(D146:D148,"FDP")&gt;=2,"rechts",IF(COUNTIF(D146:D148,"SP")+COUNTIF(D146:D148,"Grüne")&gt;=2,"links",""))</f>
        <v>links</v>
      </c>
      <c r="H146" t="str">
        <f t="shared" si="47"/>
        <v>links_gutgeheissen</v>
      </c>
    </row>
    <row r="147" spans="1:8" x14ac:dyDescent="0.35">
      <c r="A147">
        <v>14</v>
      </c>
      <c r="B147" s="2" t="s">
        <v>20</v>
      </c>
      <c r="C147" s="2" t="s">
        <v>130</v>
      </c>
      <c r="D147" s="2" t="s">
        <v>53</v>
      </c>
      <c r="E147" s="2" t="s">
        <v>9</v>
      </c>
      <c r="F147" s="2" t="s">
        <v>21</v>
      </c>
      <c r="H147" t="str">
        <f t="shared" si="47"/>
        <v/>
      </c>
    </row>
    <row r="148" spans="1:8" x14ac:dyDescent="0.35">
      <c r="A148">
        <v>14</v>
      </c>
      <c r="B148" s="2" t="s">
        <v>20</v>
      </c>
      <c r="C148" s="2" t="s">
        <v>154</v>
      </c>
      <c r="D148" s="2" t="s">
        <v>47</v>
      </c>
      <c r="E148" s="2" t="s">
        <v>9</v>
      </c>
      <c r="F148" s="2" t="s">
        <v>21</v>
      </c>
      <c r="H148" t="str">
        <f t="shared" si="47"/>
        <v/>
      </c>
    </row>
    <row r="149" spans="1:8" x14ac:dyDescent="0.35">
      <c r="A149">
        <v>38</v>
      </c>
      <c r="B149" s="16" t="s">
        <v>58</v>
      </c>
      <c r="C149" s="16" t="s">
        <v>7</v>
      </c>
      <c r="D149" s="16" t="s">
        <v>8</v>
      </c>
      <c r="E149" s="16" t="s">
        <v>9</v>
      </c>
      <c r="F149" s="16" t="s">
        <v>26</v>
      </c>
      <c r="G149" t="str">
        <f t="shared" ref="G149" si="52">IF(COUNTIF(D149:D151,"SVP")+COUNTIF(D149:D151,"FDP")&gt;=2,"rechts",IF(COUNTIF(D149:D151,"SP")+COUNTIF(D149:D151,"Grüne")&gt;=2,"links",""))</f>
        <v/>
      </c>
      <c r="H149" t="str">
        <f t="shared" si="47"/>
        <v/>
      </c>
    </row>
    <row r="150" spans="1:8" x14ac:dyDescent="0.35">
      <c r="A150">
        <v>38</v>
      </c>
      <c r="B150" s="16" t="s">
        <v>58</v>
      </c>
      <c r="C150" s="16" t="s">
        <v>134</v>
      </c>
      <c r="D150" s="16" t="s">
        <v>69</v>
      </c>
      <c r="E150" s="16" t="s">
        <v>9</v>
      </c>
      <c r="F150" s="16" t="s">
        <v>26</v>
      </c>
      <c r="H150" t="str">
        <f t="shared" si="47"/>
        <v/>
      </c>
    </row>
    <row r="151" spans="1:8" x14ac:dyDescent="0.35">
      <c r="A151">
        <v>38</v>
      </c>
      <c r="B151" s="16" t="s">
        <v>58</v>
      </c>
      <c r="C151" s="16" t="s">
        <v>154</v>
      </c>
      <c r="D151" s="16" t="s">
        <v>47</v>
      </c>
      <c r="E151" s="16" t="s">
        <v>9</v>
      </c>
      <c r="F151" s="16" t="s">
        <v>26</v>
      </c>
      <c r="H151" t="str">
        <f t="shared" si="47"/>
        <v/>
      </c>
    </row>
    <row r="152" spans="1:8" x14ac:dyDescent="0.35">
      <c r="A152">
        <v>71</v>
      </c>
      <c r="B152" s="5" t="s">
        <v>95</v>
      </c>
      <c r="C152" s="5" t="s">
        <v>7</v>
      </c>
      <c r="D152" s="5" t="s">
        <v>8</v>
      </c>
      <c r="E152" s="5" t="s">
        <v>96</v>
      </c>
      <c r="F152" s="5" t="s">
        <v>26</v>
      </c>
      <c r="G152" t="str">
        <f t="shared" ref="G152" si="53">IF(COUNTIF(D152:D154,"SVP")+COUNTIF(D152:D154,"FDP")&gt;=2,"rechts",IF(COUNTIF(D152:D154,"SP")+COUNTIF(D152:D154,"Grüne")&gt;=2,"links",""))</f>
        <v>links</v>
      </c>
      <c r="H152" t="str">
        <f t="shared" si="47"/>
        <v>links_kein_erfolg</v>
      </c>
    </row>
    <row r="153" spans="1:8" x14ac:dyDescent="0.35">
      <c r="A153">
        <v>71</v>
      </c>
      <c r="B153" s="5" t="s">
        <v>95</v>
      </c>
      <c r="C153" s="5" t="s">
        <v>128</v>
      </c>
      <c r="D153" s="5" t="s">
        <v>8</v>
      </c>
      <c r="E153" s="5" t="s">
        <v>96</v>
      </c>
      <c r="F153" s="5" t="s">
        <v>26</v>
      </c>
      <c r="H153" t="str">
        <f t="shared" si="47"/>
        <v/>
      </c>
    </row>
    <row r="154" spans="1:8" x14ac:dyDescent="0.35">
      <c r="A154">
        <v>71</v>
      </c>
      <c r="B154" s="5" t="s">
        <v>95</v>
      </c>
      <c r="C154" s="5" t="s">
        <v>154</v>
      </c>
      <c r="D154" s="5" t="s">
        <v>47</v>
      </c>
      <c r="E154" s="5" t="s">
        <v>96</v>
      </c>
      <c r="F154" s="5" t="s">
        <v>26</v>
      </c>
      <c r="H154" t="str">
        <f t="shared" si="47"/>
        <v/>
      </c>
    </row>
    <row r="155" spans="1:8" x14ac:dyDescent="0.35">
      <c r="A155">
        <v>54</v>
      </c>
      <c r="B155" s="14" t="s">
        <v>78</v>
      </c>
      <c r="C155" s="14" t="s">
        <v>74</v>
      </c>
      <c r="D155" s="14" t="s">
        <v>69</v>
      </c>
      <c r="E155" s="14" t="s">
        <v>31</v>
      </c>
      <c r="F155" s="14" t="s">
        <v>21</v>
      </c>
      <c r="G155" t="str">
        <f t="shared" ref="G155" si="54">IF(COUNTIF(D155:D157,"SVP")+COUNTIF(D155:D157,"FDP")&gt;=2,"rechts",IF(COUNTIF(D155:D157,"SP")+COUNTIF(D155:D157,"Grüne")&gt;=2,"links",""))</f>
        <v>rechts</v>
      </c>
      <c r="H155" t="str">
        <f t="shared" si="47"/>
        <v>rechts_gutgeheissen</v>
      </c>
    </row>
    <row r="156" spans="1:8" x14ac:dyDescent="0.35">
      <c r="A156">
        <v>54</v>
      </c>
      <c r="B156" s="14" t="s">
        <v>78</v>
      </c>
      <c r="C156" s="14" t="s">
        <v>141</v>
      </c>
      <c r="D156" s="14" t="s">
        <v>47</v>
      </c>
      <c r="E156" s="14" t="s">
        <v>31</v>
      </c>
      <c r="F156" s="14" t="s">
        <v>21</v>
      </c>
      <c r="H156" t="str">
        <f t="shared" si="47"/>
        <v/>
      </c>
    </row>
    <row r="157" spans="1:8" x14ac:dyDescent="0.35">
      <c r="A157">
        <v>54</v>
      </c>
      <c r="B157" s="14" t="s">
        <v>78</v>
      </c>
      <c r="C157" s="14" t="s">
        <v>138</v>
      </c>
      <c r="D157" s="14" t="s">
        <v>69</v>
      </c>
      <c r="E157" s="14" t="s">
        <v>31</v>
      </c>
      <c r="F157" s="14" t="s">
        <v>21</v>
      </c>
      <c r="H157" t="str">
        <f t="shared" si="47"/>
        <v/>
      </c>
    </row>
    <row r="158" spans="1:8" x14ac:dyDescent="0.35">
      <c r="A158">
        <v>69</v>
      </c>
      <c r="B158" s="16" t="s">
        <v>92</v>
      </c>
      <c r="C158" s="16" t="s">
        <v>74</v>
      </c>
      <c r="D158" s="16" t="s">
        <v>69</v>
      </c>
      <c r="E158" s="16" t="s">
        <v>31</v>
      </c>
      <c r="F158" s="16" t="s">
        <v>26</v>
      </c>
      <c r="G158" t="str">
        <f t="shared" ref="G158" si="55">IF(COUNTIF(D158:D160,"SVP")+COUNTIF(D158:D160,"FDP")&gt;=2,"rechts",IF(COUNTIF(D158:D160,"SP")+COUNTIF(D158:D160,"Grüne")&gt;=2,"links",""))</f>
        <v>rechts</v>
      </c>
      <c r="H158" t="str">
        <f t="shared" si="47"/>
        <v>rechts_kein_erfolg</v>
      </c>
    </row>
    <row r="159" spans="1:8" x14ac:dyDescent="0.35">
      <c r="A159">
        <v>69</v>
      </c>
      <c r="B159" s="16" t="s">
        <v>92</v>
      </c>
      <c r="C159" s="16" t="s">
        <v>138</v>
      </c>
      <c r="D159" s="16" t="s">
        <v>69</v>
      </c>
      <c r="E159" s="16" t="s">
        <v>31</v>
      </c>
      <c r="F159" s="16" t="s">
        <v>26</v>
      </c>
      <c r="H159" t="str">
        <f t="shared" si="47"/>
        <v/>
      </c>
    </row>
    <row r="160" spans="1:8" x14ac:dyDescent="0.35">
      <c r="A160">
        <v>69</v>
      </c>
      <c r="B160" s="16" t="s">
        <v>92</v>
      </c>
      <c r="C160" s="16" t="s">
        <v>163</v>
      </c>
      <c r="D160" s="16" t="s">
        <v>53</v>
      </c>
      <c r="E160" s="16" t="s">
        <v>31</v>
      </c>
      <c r="F160" s="16" t="s">
        <v>26</v>
      </c>
      <c r="H160" t="str">
        <f t="shared" si="47"/>
        <v/>
      </c>
    </row>
    <row r="161" spans="1:8" x14ac:dyDescent="0.35">
      <c r="A161">
        <v>4</v>
      </c>
      <c r="B161" s="7" t="s">
        <v>73</v>
      </c>
      <c r="C161" s="7" t="s">
        <v>74</v>
      </c>
      <c r="D161" s="7" t="s">
        <v>69</v>
      </c>
      <c r="E161" s="7" t="s">
        <v>31</v>
      </c>
      <c r="F161" s="7" t="s">
        <v>26</v>
      </c>
      <c r="G161" t="str">
        <f t="shared" ref="G161" si="56">IF(COUNTIF(D161:D163,"SVP")+COUNTIF(D161:D163,"FDP")&gt;=2,"rechts",IF(COUNTIF(D161:D163,"SP")+COUNTIF(D161:D163,"Grüne")&gt;=2,"links",""))</f>
        <v>rechts</v>
      </c>
      <c r="H161" t="str">
        <f t="shared" si="47"/>
        <v>rechts_kein_erfolg</v>
      </c>
    </row>
    <row r="162" spans="1:8" x14ac:dyDescent="0.35">
      <c r="A162">
        <v>4</v>
      </c>
      <c r="B162" s="7" t="s">
        <v>73</v>
      </c>
      <c r="C162" s="7" t="s">
        <v>141</v>
      </c>
      <c r="D162" s="7" t="s">
        <v>47</v>
      </c>
      <c r="E162" s="7" t="s">
        <v>31</v>
      </c>
      <c r="F162" s="7" t="s">
        <v>26</v>
      </c>
      <c r="H162" t="str">
        <f t="shared" si="47"/>
        <v/>
      </c>
    </row>
    <row r="163" spans="1:8" x14ac:dyDescent="0.35">
      <c r="A163">
        <v>4</v>
      </c>
      <c r="B163" s="7" t="s">
        <v>73</v>
      </c>
      <c r="C163" s="7" t="s">
        <v>160</v>
      </c>
      <c r="D163" s="7" t="s">
        <v>13</v>
      </c>
      <c r="E163" s="7" t="s">
        <v>31</v>
      </c>
      <c r="F163" s="7" t="s">
        <v>26</v>
      </c>
      <c r="H163" t="str">
        <f t="shared" si="47"/>
        <v/>
      </c>
    </row>
    <row r="164" spans="1:8" x14ac:dyDescent="0.35">
      <c r="A164">
        <v>96</v>
      </c>
      <c r="B164" s="7" t="s">
        <v>124</v>
      </c>
      <c r="C164" s="7" t="s">
        <v>104</v>
      </c>
      <c r="D164" s="7" t="s">
        <v>69</v>
      </c>
      <c r="E164" s="7" t="s">
        <v>31</v>
      </c>
      <c r="F164" s="7" t="s">
        <v>15</v>
      </c>
      <c r="G164" t="str">
        <f t="shared" ref="G164" si="57">IF(COUNTIF(D164:D166,"SVP")+COUNTIF(D164:D166,"FDP")&gt;=2,"rechts",IF(COUNTIF(D164:D166,"SP")+COUNTIF(D164:D166,"Grüne")&gt;=2,"links",""))</f>
        <v>rechts</v>
      </c>
      <c r="H164" t="str">
        <f t="shared" si="47"/>
        <v>rechts_kein_erfolg</v>
      </c>
    </row>
    <row r="165" spans="1:8" x14ac:dyDescent="0.35">
      <c r="A165">
        <v>96</v>
      </c>
      <c r="B165" s="7" t="s">
        <v>124</v>
      </c>
      <c r="C165" s="7" t="s">
        <v>152</v>
      </c>
      <c r="D165" s="7" t="s">
        <v>8</v>
      </c>
      <c r="E165" s="7" t="s">
        <v>31</v>
      </c>
      <c r="F165" s="7" t="s">
        <v>15</v>
      </c>
      <c r="H165" t="str">
        <f t="shared" si="47"/>
        <v/>
      </c>
    </row>
    <row r="166" spans="1:8" x14ac:dyDescent="0.35">
      <c r="A166">
        <v>96</v>
      </c>
      <c r="B166" s="7" t="s">
        <v>124</v>
      </c>
      <c r="C166" s="7" t="s">
        <v>166</v>
      </c>
      <c r="D166" s="7" t="s">
        <v>69</v>
      </c>
      <c r="E166" s="7" t="s">
        <v>31</v>
      </c>
      <c r="F166" s="7" t="s">
        <v>15</v>
      </c>
      <c r="H166" t="str">
        <f t="shared" si="47"/>
        <v/>
      </c>
    </row>
    <row r="167" spans="1:8" x14ac:dyDescent="0.35">
      <c r="A167">
        <v>97</v>
      </c>
      <c r="B167" s="9" t="s">
        <v>125</v>
      </c>
      <c r="C167" s="9" t="s">
        <v>104</v>
      </c>
      <c r="D167" s="9" t="s">
        <v>69</v>
      </c>
      <c r="E167" s="9" t="s">
        <v>31</v>
      </c>
      <c r="F167" s="9" t="s">
        <v>21</v>
      </c>
      <c r="G167" t="str">
        <f t="shared" ref="G167" si="58">IF(COUNTIF(D167:D169,"SVP")+COUNTIF(D167:D169,"FDP")&gt;=2,"rechts",IF(COUNTIF(D167:D169,"SP")+COUNTIF(D167:D169,"Grüne")&gt;=2,"links",""))</f>
        <v>rechts</v>
      </c>
      <c r="H167" t="str">
        <f t="shared" si="47"/>
        <v>rechts_gutgeheissen</v>
      </c>
    </row>
    <row r="168" spans="1:8" x14ac:dyDescent="0.35">
      <c r="A168">
        <v>97</v>
      </c>
      <c r="B168" s="9" t="s">
        <v>125</v>
      </c>
      <c r="C168" s="9" t="s">
        <v>153</v>
      </c>
      <c r="D168" s="9" t="s">
        <v>47</v>
      </c>
      <c r="E168" s="9" t="s">
        <v>31</v>
      </c>
      <c r="F168" s="9" t="s">
        <v>21</v>
      </c>
      <c r="H168" t="str">
        <f t="shared" si="47"/>
        <v/>
      </c>
    </row>
    <row r="169" spans="1:8" x14ac:dyDescent="0.35">
      <c r="A169">
        <v>97</v>
      </c>
      <c r="B169" s="9" t="s">
        <v>125</v>
      </c>
      <c r="C169" s="9" t="s">
        <v>166</v>
      </c>
      <c r="D169" s="9" t="s">
        <v>69</v>
      </c>
      <c r="E169" s="9" t="s">
        <v>31</v>
      </c>
      <c r="F169" s="9" t="s">
        <v>21</v>
      </c>
      <c r="H169" t="str">
        <f t="shared" si="47"/>
        <v/>
      </c>
    </row>
    <row r="170" spans="1:8" x14ac:dyDescent="0.35">
      <c r="A170">
        <v>93</v>
      </c>
      <c r="B170" s="3" t="s">
        <v>121</v>
      </c>
      <c r="C170" s="3" t="s">
        <v>104</v>
      </c>
      <c r="D170" s="3" t="s">
        <v>69</v>
      </c>
      <c r="E170" s="3" t="s">
        <v>31</v>
      </c>
      <c r="F170" s="3" t="s">
        <v>26</v>
      </c>
      <c r="G170" t="str">
        <f t="shared" ref="G170" si="59">IF(COUNTIF(D170:D172,"SVP")+COUNTIF(D170:D172,"FDP")&gt;=2,"rechts",IF(COUNTIF(D170:D172,"SP")+COUNTIF(D170:D172,"Grüne")&gt;=2,"links",""))</f>
        <v>links</v>
      </c>
      <c r="H170" t="str">
        <f t="shared" si="47"/>
        <v>links_kein_erfolg</v>
      </c>
    </row>
    <row r="171" spans="1:8" x14ac:dyDescent="0.35">
      <c r="A171">
        <v>93</v>
      </c>
      <c r="B171" s="3" t="s">
        <v>121</v>
      </c>
      <c r="C171" s="3" t="s">
        <v>151</v>
      </c>
      <c r="D171" s="3" t="s">
        <v>8</v>
      </c>
      <c r="E171" s="3" t="s">
        <v>31</v>
      </c>
      <c r="F171" s="3" t="s">
        <v>26</v>
      </c>
      <c r="H171" t="str">
        <f t="shared" si="47"/>
        <v/>
      </c>
    </row>
    <row r="172" spans="1:8" x14ac:dyDescent="0.35">
      <c r="A172">
        <v>93</v>
      </c>
      <c r="B172" s="3" t="s">
        <v>121</v>
      </c>
      <c r="C172" s="3" t="s">
        <v>152</v>
      </c>
      <c r="D172" s="3" t="s">
        <v>8</v>
      </c>
      <c r="E172" s="3" t="s">
        <v>31</v>
      </c>
      <c r="F172" s="3" t="s">
        <v>26</v>
      </c>
      <c r="H172" t="str">
        <f t="shared" si="47"/>
        <v/>
      </c>
    </row>
  </sheetData>
  <autoFilter ref="A1:F172" xr:uid="{00000000-0001-0000-0000-000000000000}"/>
  <sortState xmlns:xlrd2="http://schemas.microsoft.com/office/spreadsheetml/2017/richdata2" ref="A2:F172">
    <sortCondition ref="B1:B172"/>
  </sortState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9CA2-C3B8-4485-8B36-D31AF9846108}">
  <dimension ref="A1:J76"/>
  <sheetViews>
    <sheetView topLeftCell="B1" workbookViewId="0">
      <selection activeCell="J12" sqref="J12"/>
    </sheetView>
  </sheetViews>
  <sheetFormatPr baseColWidth="10" defaultColWidth="8.7265625" defaultRowHeight="14.5" x14ac:dyDescent="0.35"/>
  <cols>
    <col min="1" max="1" width="3.90625" customWidth="1"/>
    <col min="2" max="2" width="37.453125" customWidth="1"/>
    <col min="3" max="3" width="19.08984375" customWidth="1"/>
    <col min="4" max="4" width="21.6328125" customWidth="1"/>
    <col min="5" max="5" width="21.453125" customWidth="1"/>
    <col min="6" max="6" width="26.1796875" customWidth="1"/>
    <col min="7" max="7" width="25" customWidth="1"/>
    <col min="8" max="8" width="19.453125" customWidth="1"/>
    <col min="9" max="9" width="48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174</v>
      </c>
      <c r="I1" t="s">
        <v>172</v>
      </c>
      <c r="J1">
        <f>COUNTIF(G:G,"rechts")</f>
        <v>10</v>
      </c>
    </row>
    <row r="2" spans="1:10" x14ac:dyDescent="0.35">
      <c r="A2">
        <v>59</v>
      </c>
      <c r="B2" s="20" t="s">
        <v>81</v>
      </c>
      <c r="C2" s="20" t="s">
        <v>19</v>
      </c>
      <c r="D2" s="20" t="s">
        <v>13</v>
      </c>
      <c r="E2" s="20" t="s">
        <v>9</v>
      </c>
      <c r="F2" s="20" t="s">
        <v>26</v>
      </c>
      <c r="G2" t="str">
        <f t="shared" ref="G2" si="0">IF(COUNTIF(D2:D4,"SVP")+COUNTIF(D2:D4,"FDP")&gt;=2,"rechts",IF(COUNTIF(D2:D4,"SP")+COUNTIF(D2:D4,"Grüne")&gt;=2,"links",""))</f>
        <v>rechts</v>
      </c>
      <c r="H2" t="str">
        <f t="shared" ref="H2:H55" si="1">IF(AND(OR(F2="gutgeheissen",F2="teilweise gutgeheissen"),G2="rechts"),"rechts_gutgeheissen",IF(G2="rechts","rechts_kein_erfolg",IF(AND(OR(F2="gutgeheissen",F2="teilweise gutgeheissen"),G2="links"),"links_gutgeheissen",IF(G2="links","links_kein_erfolg",""))))</f>
        <v>rechts_kein_erfolg</v>
      </c>
      <c r="I2" t="s">
        <v>173</v>
      </c>
      <c r="J2">
        <f>COUNTIF(G:G,"links")</f>
        <v>6</v>
      </c>
    </row>
    <row r="3" spans="1:10" x14ac:dyDescent="0.35">
      <c r="A3">
        <v>59</v>
      </c>
      <c r="B3" s="20" t="s">
        <v>81</v>
      </c>
      <c r="C3" s="20" t="s">
        <v>146</v>
      </c>
      <c r="D3" s="20" t="s">
        <v>13</v>
      </c>
      <c r="E3" s="20" t="s">
        <v>9</v>
      </c>
      <c r="F3" s="20" t="s">
        <v>26</v>
      </c>
      <c r="H3" t="str">
        <f t="shared" si="1"/>
        <v/>
      </c>
      <c r="I3" t="s">
        <v>175</v>
      </c>
      <c r="J3">
        <f>COUNTIF(H:H,"rechts_gutgeheissen")</f>
        <v>0</v>
      </c>
    </row>
    <row r="4" spans="1:10" x14ac:dyDescent="0.35">
      <c r="A4">
        <v>59</v>
      </c>
      <c r="B4" s="20" t="s">
        <v>81</v>
      </c>
      <c r="C4" s="20" t="s">
        <v>147</v>
      </c>
      <c r="D4" s="20" t="s">
        <v>47</v>
      </c>
      <c r="E4" s="20" t="s">
        <v>9</v>
      </c>
      <c r="F4" s="20" t="s">
        <v>26</v>
      </c>
      <c r="H4" t="str">
        <f t="shared" si="1"/>
        <v/>
      </c>
      <c r="I4" t="s">
        <v>177</v>
      </c>
      <c r="J4">
        <f>COUNTIF(H:H,"links_gutgeheissen")</f>
        <v>3</v>
      </c>
    </row>
    <row r="5" spans="1:10" x14ac:dyDescent="0.35">
      <c r="A5">
        <v>19</v>
      </c>
      <c r="B5" s="17" t="s">
        <v>28</v>
      </c>
      <c r="C5" s="17" t="s">
        <v>19</v>
      </c>
      <c r="D5" s="17" t="s">
        <v>13</v>
      </c>
      <c r="E5" s="17" t="s">
        <v>9</v>
      </c>
      <c r="F5" s="17" t="s">
        <v>26</v>
      </c>
      <c r="G5" t="str">
        <f t="shared" ref="G5" si="2">IF(COUNTIF(D5:D7,"SVP")+COUNTIF(D5:D7,"FDP")&gt;=2,"rechts",IF(COUNTIF(D5:D7,"SP")+COUNTIF(D5:D7,"Grüne")&gt;=2,"links",""))</f>
        <v/>
      </c>
      <c r="H5" t="str">
        <f t="shared" si="1"/>
        <v/>
      </c>
      <c r="I5" t="s">
        <v>176</v>
      </c>
      <c r="J5">
        <f>100/J1*J3</f>
        <v>0</v>
      </c>
    </row>
    <row r="6" spans="1:10" x14ac:dyDescent="0.35">
      <c r="A6">
        <v>19</v>
      </c>
      <c r="B6" s="17" t="s">
        <v>28</v>
      </c>
      <c r="C6" s="17" t="s">
        <v>133</v>
      </c>
      <c r="D6" s="17" t="s">
        <v>8</v>
      </c>
      <c r="E6" s="17" t="s">
        <v>9</v>
      </c>
      <c r="F6" s="17" t="s">
        <v>26</v>
      </c>
      <c r="H6" t="str">
        <f t="shared" si="1"/>
        <v/>
      </c>
      <c r="I6" t="s">
        <v>179</v>
      </c>
      <c r="J6">
        <f>100/J2*J4</f>
        <v>50</v>
      </c>
    </row>
    <row r="7" spans="1:10" x14ac:dyDescent="0.35">
      <c r="A7">
        <v>19</v>
      </c>
      <c r="B7" s="17" t="s">
        <v>28</v>
      </c>
      <c r="C7" s="17" t="s">
        <v>147</v>
      </c>
      <c r="D7" s="17" t="s">
        <v>47</v>
      </c>
      <c r="E7" s="17" t="s">
        <v>9</v>
      </c>
      <c r="F7" s="17" t="s">
        <v>26</v>
      </c>
      <c r="H7" t="str">
        <f t="shared" si="1"/>
        <v/>
      </c>
    </row>
    <row r="8" spans="1:10" x14ac:dyDescent="0.35">
      <c r="A8">
        <v>67</v>
      </c>
      <c r="B8" s="20" t="s">
        <v>90</v>
      </c>
      <c r="C8" s="20" t="s">
        <v>46</v>
      </c>
      <c r="D8" s="20" t="s">
        <v>47</v>
      </c>
      <c r="E8" s="20" t="s">
        <v>9</v>
      </c>
      <c r="F8" s="20" t="s">
        <v>26</v>
      </c>
      <c r="G8" t="str">
        <f t="shared" ref="G8" si="3">IF(COUNTIF(D8:D10,"SVP")+COUNTIF(D8:D10,"FDP")&gt;=2,"rechts",IF(COUNTIF(D8:D10,"SP")+COUNTIF(D8:D10,"Grüne")&gt;=2,"links",""))</f>
        <v/>
      </c>
      <c r="H8" t="str">
        <f t="shared" si="1"/>
        <v/>
      </c>
    </row>
    <row r="9" spans="1:10" x14ac:dyDescent="0.35">
      <c r="A9">
        <v>67</v>
      </c>
      <c r="B9" s="20" t="s">
        <v>90</v>
      </c>
      <c r="C9" s="20" t="s">
        <v>133</v>
      </c>
      <c r="D9" s="20" t="s">
        <v>8</v>
      </c>
      <c r="E9" s="20" t="s">
        <v>9</v>
      </c>
      <c r="F9" s="20" t="s">
        <v>26</v>
      </c>
      <c r="H9" t="str">
        <f t="shared" si="1"/>
        <v/>
      </c>
    </row>
    <row r="10" spans="1:10" x14ac:dyDescent="0.35">
      <c r="A10">
        <v>67</v>
      </c>
      <c r="B10" s="20" t="s">
        <v>90</v>
      </c>
      <c r="C10" s="20" t="s">
        <v>145</v>
      </c>
      <c r="D10" s="20" t="s">
        <v>69</v>
      </c>
      <c r="E10" s="20" t="s">
        <v>9</v>
      </c>
      <c r="F10" s="20" t="s">
        <v>26</v>
      </c>
      <c r="H10" t="str">
        <f t="shared" si="1"/>
        <v/>
      </c>
    </row>
    <row r="11" spans="1:10" x14ac:dyDescent="0.35">
      <c r="A11">
        <v>2</v>
      </c>
      <c r="B11" s="14" t="s">
        <v>45</v>
      </c>
      <c r="C11" s="14" t="s">
        <v>46</v>
      </c>
      <c r="D11" s="14" t="s">
        <v>47</v>
      </c>
      <c r="E11" s="14" t="s">
        <v>9</v>
      </c>
      <c r="F11" s="14" t="s">
        <v>26</v>
      </c>
      <c r="G11" t="str">
        <f t="shared" ref="G11" si="4">IF(COUNTIF(D11:D13,"SVP")+COUNTIF(D11:D13,"FDP")&gt;=2,"rechts",IF(COUNTIF(D11:D13,"SP")+COUNTIF(D11:D13,"Grüne")&gt;=2,"links",""))</f>
        <v/>
      </c>
      <c r="H11" t="str">
        <f t="shared" si="1"/>
        <v/>
      </c>
    </row>
    <row r="12" spans="1:10" x14ac:dyDescent="0.35">
      <c r="A12">
        <v>2</v>
      </c>
      <c r="B12" s="14" t="s">
        <v>45</v>
      </c>
      <c r="C12" s="14" t="s">
        <v>133</v>
      </c>
      <c r="D12" s="14" t="s">
        <v>8</v>
      </c>
      <c r="E12" s="14" t="s">
        <v>9</v>
      </c>
      <c r="F12" s="14" t="s">
        <v>26</v>
      </c>
      <c r="H12" t="str">
        <f t="shared" si="1"/>
        <v/>
      </c>
    </row>
    <row r="13" spans="1:10" x14ac:dyDescent="0.35">
      <c r="A13">
        <v>2</v>
      </c>
      <c r="B13" s="14" t="s">
        <v>45</v>
      </c>
      <c r="C13" s="14" t="s">
        <v>147</v>
      </c>
      <c r="D13" s="14" t="s">
        <v>47</v>
      </c>
      <c r="E13" s="14" t="s">
        <v>9</v>
      </c>
      <c r="F13" s="14" t="s">
        <v>26</v>
      </c>
      <c r="H13" t="str">
        <f t="shared" si="1"/>
        <v/>
      </c>
    </row>
    <row r="14" spans="1:10" x14ac:dyDescent="0.35">
      <c r="A14">
        <v>28</v>
      </c>
      <c r="B14" s="2" t="s">
        <v>42</v>
      </c>
      <c r="C14" s="2" t="s">
        <v>19</v>
      </c>
      <c r="D14" s="2" t="s">
        <v>13</v>
      </c>
      <c r="E14" s="2" t="s">
        <v>9</v>
      </c>
      <c r="F14" s="2" t="s">
        <v>26</v>
      </c>
      <c r="G14" t="str">
        <f t="shared" ref="G14" si="5">IF(COUNTIF(D14:D16,"SVP")+COUNTIF(D14:D16,"FDP")&gt;=2,"rechts",IF(COUNTIF(D14:D16,"SP")+COUNTIF(D14:D16,"Grüne")&gt;=2,"links",""))</f>
        <v>rechts</v>
      </c>
      <c r="H14" t="str">
        <f t="shared" si="1"/>
        <v>rechts_kein_erfolg</v>
      </c>
    </row>
    <row r="15" spans="1:10" x14ac:dyDescent="0.35">
      <c r="A15">
        <v>28</v>
      </c>
      <c r="B15" s="2" t="s">
        <v>42</v>
      </c>
      <c r="C15" s="2" t="s">
        <v>138</v>
      </c>
      <c r="D15" s="2" t="s">
        <v>69</v>
      </c>
      <c r="E15" s="2" t="s">
        <v>9</v>
      </c>
      <c r="F15" s="2" t="s">
        <v>26</v>
      </c>
      <c r="H15" t="str">
        <f t="shared" si="1"/>
        <v/>
      </c>
    </row>
    <row r="16" spans="1:10" x14ac:dyDescent="0.35">
      <c r="A16">
        <v>28</v>
      </c>
      <c r="B16" s="2" t="s">
        <v>42</v>
      </c>
      <c r="C16" s="2" t="s">
        <v>145</v>
      </c>
      <c r="D16" s="2" t="s">
        <v>69</v>
      </c>
      <c r="E16" s="2" t="s">
        <v>9</v>
      </c>
      <c r="F16" s="2" t="s">
        <v>26</v>
      </c>
      <c r="H16" t="str">
        <f t="shared" si="1"/>
        <v/>
      </c>
    </row>
    <row r="17" spans="1:8" x14ac:dyDescent="0.35">
      <c r="A17">
        <v>63</v>
      </c>
      <c r="B17" s="3" t="s">
        <v>86</v>
      </c>
      <c r="C17" s="3" t="s">
        <v>19</v>
      </c>
      <c r="D17" s="3" t="s">
        <v>13</v>
      </c>
      <c r="E17" s="3" t="s">
        <v>9</v>
      </c>
      <c r="F17" s="3" t="s">
        <v>26</v>
      </c>
      <c r="G17" t="str">
        <f t="shared" ref="G17" si="6">IF(COUNTIF(D17:D19,"SVP")+COUNTIF(D17:D19,"FDP")&gt;=2,"rechts",IF(COUNTIF(D17:D19,"SP")+COUNTIF(D17:D19,"Grüne")&gt;=2,"links",""))</f>
        <v>rechts</v>
      </c>
      <c r="H17" t="str">
        <f t="shared" si="1"/>
        <v>rechts_kein_erfolg</v>
      </c>
    </row>
    <row r="18" spans="1:8" x14ac:dyDescent="0.35">
      <c r="A18">
        <v>63</v>
      </c>
      <c r="B18" s="3" t="s">
        <v>86</v>
      </c>
      <c r="C18" s="3" t="s">
        <v>147</v>
      </c>
      <c r="D18" s="3" t="s">
        <v>47</v>
      </c>
      <c r="E18" s="3" t="s">
        <v>9</v>
      </c>
      <c r="F18" s="3" t="s">
        <v>26</v>
      </c>
      <c r="H18" t="str">
        <f t="shared" si="1"/>
        <v/>
      </c>
    </row>
    <row r="19" spans="1:8" x14ac:dyDescent="0.35">
      <c r="A19">
        <v>63</v>
      </c>
      <c r="B19" s="3" t="s">
        <v>86</v>
      </c>
      <c r="C19" s="3" t="s">
        <v>162</v>
      </c>
      <c r="D19" s="3" t="s">
        <v>13</v>
      </c>
      <c r="E19" s="3" t="s">
        <v>9</v>
      </c>
      <c r="F19" s="3" t="s">
        <v>26</v>
      </c>
      <c r="H19" t="str">
        <f t="shared" si="1"/>
        <v/>
      </c>
    </row>
    <row r="20" spans="1:8" x14ac:dyDescent="0.35">
      <c r="A20">
        <v>60</v>
      </c>
      <c r="B20" s="2" t="s">
        <v>83</v>
      </c>
      <c r="C20" s="2" t="s">
        <v>19</v>
      </c>
      <c r="D20" s="2" t="s">
        <v>13</v>
      </c>
      <c r="E20" s="2" t="s">
        <v>9</v>
      </c>
      <c r="F20" s="2" t="s">
        <v>26</v>
      </c>
      <c r="G20" t="str">
        <f t="shared" ref="G20" si="7">IF(COUNTIF(D20:D22,"SVP")+COUNTIF(D20:D22,"FDP")&gt;=2,"rechts",IF(COUNTIF(D20:D22,"SP")+COUNTIF(D20:D22,"Grüne")&gt;=2,"links",""))</f>
        <v>rechts</v>
      </c>
      <c r="H20" t="str">
        <f t="shared" si="1"/>
        <v>rechts_kein_erfolg</v>
      </c>
    </row>
    <row r="21" spans="1:8" x14ac:dyDescent="0.35">
      <c r="A21">
        <v>60</v>
      </c>
      <c r="B21" s="2" t="s">
        <v>83</v>
      </c>
      <c r="C21" s="2" t="s">
        <v>138</v>
      </c>
      <c r="D21" s="2" t="s">
        <v>69</v>
      </c>
      <c r="E21" s="2" t="s">
        <v>9</v>
      </c>
      <c r="F21" s="2" t="s">
        <v>26</v>
      </c>
      <c r="H21" t="str">
        <f t="shared" si="1"/>
        <v/>
      </c>
    </row>
    <row r="22" spans="1:8" x14ac:dyDescent="0.35">
      <c r="A22">
        <v>60</v>
      </c>
      <c r="B22" s="2" t="s">
        <v>83</v>
      </c>
      <c r="C22" s="2" t="s">
        <v>133</v>
      </c>
      <c r="D22" s="2" t="s">
        <v>8</v>
      </c>
      <c r="E22" s="2" t="s">
        <v>9</v>
      </c>
      <c r="F22" s="2" t="s">
        <v>26</v>
      </c>
      <c r="H22" t="str">
        <f t="shared" si="1"/>
        <v/>
      </c>
    </row>
    <row r="23" spans="1:8" x14ac:dyDescent="0.35">
      <c r="A23">
        <v>18</v>
      </c>
      <c r="B23" s="17" t="s">
        <v>27</v>
      </c>
      <c r="C23" s="17" t="s">
        <v>19</v>
      </c>
      <c r="D23" s="17" t="s">
        <v>13</v>
      </c>
      <c r="E23" s="17" t="s">
        <v>9</v>
      </c>
      <c r="F23" s="17" t="s">
        <v>26</v>
      </c>
      <c r="G23" t="str">
        <f t="shared" ref="G23" si="8">IF(COUNTIF(D23:D25,"SVP")+COUNTIF(D23:D25,"FDP")&gt;=2,"rechts",IF(COUNTIF(D23:D25,"SP")+COUNTIF(D23:D25,"Grüne")&gt;=2,"links",""))</f>
        <v/>
      </c>
      <c r="H23" t="str">
        <f t="shared" si="1"/>
        <v/>
      </c>
    </row>
    <row r="24" spans="1:8" x14ac:dyDescent="0.35">
      <c r="A24">
        <v>18</v>
      </c>
      <c r="B24" s="17" t="s">
        <v>27</v>
      </c>
      <c r="C24" s="17" t="s">
        <v>133</v>
      </c>
      <c r="D24" s="17" t="s">
        <v>8</v>
      </c>
      <c r="E24" s="17" t="s">
        <v>9</v>
      </c>
      <c r="F24" s="17" t="s">
        <v>26</v>
      </c>
      <c r="H24" t="str">
        <f t="shared" si="1"/>
        <v/>
      </c>
    </row>
    <row r="25" spans="1:8" x14ac:dyDescent="0.35">
      <c r="A25">
        <v>18</v>
      </c>
      <c r="B25" s="17" t="s">
        <v>27</v>
      </c>
      <c r="C25" s="17" t="s">
        <v>147</v>
      </c>
      <c r="D25" s="17" t="s">
        <v>47</v>
      </c>
      <c r="E25" s="17" t="s">
        <v>9</v>
      </c>
      <c r="F25" s="17" t="s">
        <v>26</v>
      </c>
      <c r="H25" t="str">
        <f t="shared" si="1"/>
        <v/>
      </c>
    </row>
    <row r="26" spans="1:8" x14ac:dyDescent="0.35">
      <c r="A26">
        <v>47</v>
      </c>
      <c r="B26" s="7" t="s">
        <v>71</v>
      </c>
      <c r="C26" s="7" t="s">
        <v>19</v>
      </c>
      <c r="D26" s="7" t="s">
        <v>13</v>
      </c>
      <c r="E26" s="7" t="s">
        <v>9</v>
      </c>
      <c r="F26" s="7" t="s">
        <v>26</v>
      </c>
      <c r="G26" t="str">
        <f t="shared" ref="G26" si="9">IF(COUNTIF(D26:D28,"SVP")+COUNTIF(D26:D28,"FDP")&gt;=2,"rechts",IF(COUNTIF(D26:D28,"SP")+COUNTIF(D26:D28,"Grüne")&gt;=2,"links",""))</f>
        <v>rechts</v>
      </c>
      <c r="H26" t="str">
        <f t="shared" si="1"/>
        <v>rechts_kein_erfolg</v>
      </c>
    </row>
    <row r="27" spans="1:8" x14ac:dyDescent="0.35">
      <c r="A27">
        <v>47</v>
      </c>
      <c r="B27" s="7" t="s">
        <v>71</v>
      </c>
      <c r="C27" s="7" t="s">
        <v>46</v>
      </c>
      <c r="D27" s="7" t="s">
        <v>47</v>
      </c>
      <c r="E27" s="7" t="s">
        <v>9</v>
      </c>
      <c r="F27" s="7" t="s">
        <v>26</v>
      </c>
      <c r="H27" t="str">
        <f t="shared" si="1"/>
        <v/>
      </c>
    </row>
    <row r="28" spans="1:8" x14ac:dyDescent="0.35">
      <c r="A28">
        <v>47</v>
      </c>
      <c r="B28" s="7" t="s">
        <v>71</v>
      </c>
      <c r="C28" s="7" t="s">
        <v>145</v>
      </c>
      <c r="D28" s="7" t="s">
        <v>69</v>
      </c>
      <c r="E28" s="7" t="s">
        <v>9</v>
      </c>
      <c r="F28" s="7" t="s">
        <v>26</v>
      </c>
      <c r="H28" t="str">
        <f t="shared" si="1"/>
        <v/>
      </c>
    </row>
    <row r="29" spans="1:8" x14ac:dyDescent="0.35">
      <c r="A29">
        <v>90</v>
      </c>
      <c r="B29" s="8" t="s">
        <v>118</v>
      </c>
      <c r="C29" s="8" t="s">
        <v>19</v>
      </c>
      <c r="D29" s="8" t="s">
        <v>13</v>
      </c>
      <c r="E29" s="8" t="s">
        <v>9</v>
      </c>
      <c r="F29" s="8" t="s">
        <v>26</v>
      </c>
      <c r="G29" t="str">
        <f t="shared" ref="G29" si="10">IF(COUNTIF(D29:D31,"SVP")+COUNTIF(D29:D31,"FDP")&gt;=2,"rechts",IF(COUNTIF(D29:D31,"SP")+COUNTIF(D29:D31,"Grüne")&gt;=2,"links",""))</f>
        <v>rechts</v>
      </c>
      <c r="H29" t="str">
        <f t="shared" si="1"/>
        <v>rechts_kein_erfolg</v>
      </c>
    </row>
    <row r="30" spans="1:8" x14ac:dyDescent="0.35">
      <c r="A30">
        <v>90</v>
      </c>
      <c r="B30" s="8" t="s">
        <v>118</v>
      </c>
      <c r="C30" s="8" t="s">
        <v>145</v>
      </c>
      <c r="D30" s="8" t="s">
        <v>69</v>
      </c>
      <c r="E30" s="8" t="s">
        <v>9</v>
      </c>
      <c r="F30" s="8" t="s">
        <v>26</v>
      </c>
      <c r="H30" t="str">
        <f t="shared" si="1"/>
        <v/>
      </c>
    </row>
    <row r="31" spans="1:8" x14ac:dyDescent="0.35">
      <c r="A31">
        <v>90</v>
      </c>
      <c r="B31" s="8" t="s">
        <v>118</v>
      </c>
      <c r="C31" s="8" t="s">
        <v>147</v>
      </c>
      <c r="D31" s="8" t="s">
        <v>47</v>
      </c>
      <c r="E31" s="8" t="s">
        <v>9</v>
      </c>
      <c r="F31" s="8" t="s">
        <v>26</v>
      </c>
      <c r="H31" t="str">
        <f t="shared" si="1"/>
        <v/>
      </c>
    </row>
    <row r="32" spans="1:8" x14ac:dyDescent="0.35">
      <c r="A32">
        <v>57</v>
      </c>
      <c r="B32" s="16" t="s">
        <v>79</v>
      </c>
      <c r="C32" s="16" t="s">
        <v>46</v>
      </c>
      <c r="D32" s="16" t="s">
        <v>47</v>
      </c>
      <c r="E32" s="16" t="s">
        <v>9</v>
      </c>
      <c r="F32" s="16" t="s">
        <v>26</v>
      </c>
      <c r="G32" t="str">
        <f t="shared" ref="G32" si="11">IF(COUNTIF(D32:D34,"SVP")+COUNTIF(D32:D34,"FDP")&gt;=2,"rechts",IF(COUNTIF(D32:D34,"SP")+COUNTIF(D32:D34,"Grüne")&gt;=2,"links",""))</f>
        <v/>
      </c>
      <c r="H32" t="str">
        <f t="shared" si="1"/>
        <v/>
      </c>
    </row>
    <row r="33" spans="1:8" x14ac:dyDescent="0.35">
      <c r="A33">
        <v>57</v>
      </c>
      <c r="B33" s="16" t="s">
        <v>79</v>
      </c>
      <c r="C33" s="16" t="s">
        <v>145</v>
      </c>
      <c r="D33" s="16" t="s">
        <v>69</v>
      </c>
      <c r="E33" s="16" t="s">
        <v>9</v>
      </c>
      <c r="F33" s="16" t="s">
        <v>26</v>
      </c>
      <c r="H33" t="str">
        <f t="shared" si="1"/>
        <v/>
      </c>
    </row>
    <row r="34" spans="1:8" x14ac:dyDescent="0.35">
      <c r="A34">
        <v>57</v>
      </c>
      <c r="B34" s="16" t="s">
        <v>79</v>
      </c>
      <c r="C34" s="16" t="s">
        <v>161</v>
      </c>
      <c r="D34" s="16" t="s">
        <v>8</v>
      </c>
      <c r="E34" s="16" t="s">
        <v>9</v>
      </c>
      <c r="F34" s="16" t="s">
        <v>26</v>
      </c>
      <c r="H34" t="str">
        <f t="shared" si="1"/>
        <v/>
      </c>
    </row>
    <row r="35" spans="1:8" x14ac:dyDescent="0.35">
      <c r="A35">
        <v>61</v>
      </c>
      <c r="B35" s="18" t="s">
        <v>84</v>
      </c>
      <c r="C35" s="18" t="s">
        <v>19</v>
      </c>
      <c r="D35" s="18" t="s">
        <v>13</v>
      </c>
      <c r="E35" s="18" t="s">
        <v>9</v>
      </c>
      <c r="F35" s="18" t="s">
        <v>26</v>
      </c>
      <c r="G35" t="str">
        <f t="shared" ref="G35" si="12">IF(COUNTIF(D35:D37,"SVP")+COUNTIF(D35:D37,"FDP")&gt;=2,"rechts",IF(COUNTIF(D35:D37,"SP")+COUNTIF(D35:D37,"Grüne")&gt;=2,"links",""))</f>
        <v>rechts</v>
      </c>
      <c r="H35" t="str">
        <f t="shared" si="1"/>
        <v>rechts_kein_erfolg</v>
      </c>
    </row>
    <row r="36" spans="1:8" x14ac:dyDescent="0.35">
      <c r="A36">
        <v>61</v>
      </c>
      <c r="B36" s="18" t="s">
        <v>84</v>
      </c>
      <c r="C36" s="18" t="s">
        <v>145</v>
      </c>
      <c r="D36" s="18" t="s">
        <v>69</v>
      </c>
      <c r="E36" s="18" t="s">
        <v>9</v>
      </c>
      <c r="F36" s="18" t="s">
        <v>26</v>
      </c>
      <c r="H36" t="str">
        <f t="shared" si="1"/>
        <v/>
      </c>
    </row>
    <row r="37" spans="1:8" x14ac:dyDescent="0.35">
      <c r="A37">
        <v>61</v>
      </c>
      <c r="B37" s="18" t="s">
        <v>84</v>
      </c>
      <c r="C37" s="18" t="s">
        <v>162</v>
      </c>
      <c r="D37" s="18" t="s">
        <v>13</v>
      </c>
      <c r="E37" s="18" t="s">
        <v>9</v>
      </c>
      <c r="F37" s="18" t="s">
        <v>26</v>
      </c>
      <c r="H37" t="str">
        <f t="shared" si="1"/>
        <v/>
      </c>
    </row>
    <row r="38" spans="1:8" x14ac:dyDescent="0.35">
      <c r="A38">
        <v>70</v>
      </c>
      <c r="B38" s="2" t="s">
        <v>94</v>
      </c>
      <c r="C38" s="2" t="s">
        <v>19</v>
      </c>
      <c r="D38" s="2" t="s">
        <v>13</v>
      </c>
      <c r="E38" s="2" t="s">
        <v>9</v>
      </c>
      <c r="F38" s="2" t="s">
        <v>21</v>
      </c>
      <c r="G38" t="str">
        <f t="shared" ref="G38" si="13">IF(COUNTIF(D38:D40,"SVP")+COUNTIF(D38:D40,"FDP")&gt;=2,"rechts",IF(COUNTIF(D38:D40,"SP")+COUNTIF(D38:D40,"Grüne")&gt;=2,"links",""))</f>
        <v/>
      </c>
      <c r="H38" t="str">
        <f t="shared" si="1"/>
        <v/>
      </c>
    </row>
    <row r="39" spans="1:8" x14ac:dyDescent="0.35">
      <c r="A39">
        <v>70</v>
      </c>
      <c r="B39" s="2" t="s">
        <v>94</v>
      </c>
      <c r="C39" s="2" t="s">
        <v>35</v>
      </c>
      <c r="D39" s="2" t="s">
        <v>36</v>
      </c>
      <c r="E39" s="2" t="s">
        <v>9</v>
      </c>
      <c r="F39" s="2" t="s">
        <v>21</v>
      </c>
      <c r="H39" t="str">
        <f t="shared" si="1"/>
        <v/>
      </c>
    </row>
    <row r="40" spans="1:8" x14ac:dyDescent="0.35">
      <c r="A40">
        <v>70</v>
      </c>
      <c r="B40" s="2" t="s">
        <v>94</v>
      </c>
      <c r="C40" s="2" t="s">
        <v>133</v>
      </c>
      <c r="D40" s="2" t="s">
        <v>8</v>
      </c>
      <c r="E40" s="2" t="s">
        <v>9</v>
      </c>
      <c r="F40" s="2" t="s">
        <v>21</v>
      </c>
      <c r="H40" t="str">
        <f t="shared" si="1"/>
        <v/>
      </c>
    </row>
    <row r="41" spans="1:8" x14ac:dyDescent="0.35">
      <c r="A41">
        <v>20</v>
      </c>
      <c r="B41" s="3" t="s">
        <v>32</v>
      </c>
      <c r="C41" s="3" t="s">
        <v>19</v>
      </c>
      <c r="D41" s="3" t="s">
        <v>13</v>
      </c>
      <c r="E41" s="3" t="s">
        <v>9</v>
      </c>
      <c r="F41" s="3" t="s">
        <v>26</v>
      </c>
      <c r="G41" t="str">
        <f t="shared" ref="G41" si="14">IF(COUNTIF(D41:D43,"SVP")+COUNTIF(D41:D43,"FDP")&gt;=2,"rechts",IF(COUNTIF(D41:D43,"SP")+COUNTIF(D41:D43,"Grüne")&gt;=2,"links",""))</f>
        <v>rechts</v>
      </c>
      <c r="H41" t="str">
        <f t="shared" si="1"/>
        <v>rechts_kein_erfolg</v>
      </c>
    </row>
    <row r="42" spans="1:8" x14ac:dyDescent="0.35">
      <c r="A42">
        <v>20</v>
      </c>
      <c r="B42" s="3" t="s">
        <v>32</v>
      </c>
      <c r="C42" s="3" t="s">
        <v>35</v>
      </c>
      <c r="D42" s="3" t="s">
        <v>36</v>
      </c>
      <c r="E42" s="3" t="s">
        <v>9</v>
      </c>
      <c r="F42" s="3" t="s">
        <v>26</v>
      </c>
      <c r="H42" t="str">
        <f t="shared" si="1"/>
        <v/>
      </c>
    </row>
    <row r="43" spans="1:8" x14ac:dyDescent="0.35">
      <c r="A43">
        <v>20</v>
      </c>
      <c r="B43" s="3" t="s">
        <v>32</v>
      </c>
      <c r="C43" s="3" t="s">
        <v>145</v>
      </c>
      <c r="D43" s="3" t="s">
        <v>69</v>
      </c>
      <c r="E43" s="3" t="s">
        <v>9</v>
      </c>
      <c r="F43" s="3" t="s">
        <v>26</v>
      </c>
      <c r="H43" t="str">
        <f t="shared" si="1"/>
        <v/>
      </c>
    </row>
    <row r="44" spans="1:8" x14ac:dyDescent="0.35">
      <c r="A44">
        <v>3</v>
      </c>
      <c r="B44" s="7" t="s">
        <v>60</v>
      </c>
      <c r="C44" s="7" t="s">
        <v>19</v>
      </c>
      <c r="D44" s="7" t="s">
        <v>13</v>
      </c>
      <c r="E44" s="7" t="s">
        <v>9</v>
      </c>
      <c r="F44" s="7" t="s">
        <v>26</v>
      </c>
      <c r="G44" t="str">
        <f t="shared" ref="G44" si="15">IF(COUNTIF(D44:D46,"SVP")+COUNTIF(D44:D46,"FDP")&gt;=2,"rechts",IF(COUNTIF(D44:D46,"SP")+COUNTIF(D44:D46,"Grüne")&gt;=2,"links",""))</f>
        <v>rechts</v>
      </c>
      <c r="H44" t="str">
        <f t="shared" si="1"/>
        <v>rechts_kein_erfolg</v>
      </c>
    </row>
    <row r="45" spans="1:8" x14ac:dyDescent="0.35">
      <c r="A45">
        <v>3</v>
      </c>
      <c r="B45" s="7" t="s">
        <v>60</v>
      </c>
      <c r="C45" s="7" t="s">
        <v>138</v>
      </c>
      <c r="D45" s="7" t="s">
        <v>69</v>
      </c>
      <c r="E45" s="7" t="s">
        <v>9</v>
      </c>
      <c r="F45" s="7" t="s">
        <v>26</v>
      </c>
      <c r="H45" t="str">
        <f t="shared" si="1"/>
        <v/>
      </c>
    </row>
    <row r="46" spans="1:8" x14ac:dyDescent="0.35">
      <c r="A46">
        <v>3</v>
      </c>
      <c r="B46" s="7" t="s">
        <v>60</v>
      </c>
      <c r="C46" s="7" t="s">
        <v>147</v>
      </c>
      <c r="D46" s="7" t="s">
        <v>47</v>
      </c>
      <c r="E46" s="7" t="s">
        <v>9</v>
      </c>
      <c r="F46" s="7" t="s">
        <v>26</v>
      </c>
      <c r="H46" t="str">
        <f t="shared" si="1"/>
        <v/>
      </c>
    </row>
    <row r="47" spans="1:8" x14ac:dyDescent="0.35">
      <c r="A47">
        <v>62</v>
      </c>
      <c r="B47" s="15" t="s">
        <v>85</v>
      </c>
      <c r="C47" s="15" t="s">
        <v>19</v>
      </c>
      <c r="D47" s="15" t="s">
        <v>13</v>
      </c>
      <c r="E47" s="15" t="s">
        <v>9</v>
      </c>
      <c r="F47" s="15" t="s">
        <v>21</v>
      </c>
      <c r="G47" t="str">
        <f t="shared" ref="G47" si="16">IF(COUNTIF(D47:D49,"SVP")+COUNTIF(D47:D49,"FDP")&gt;=2,"rechts",IF(COUNTIF(D47:D49,"SP")+COUNTIF(D47:D49,"Grüne")&gt;=2,"links",""))</f>
        <v/>
      </c>
      <c r="H47" t="str">
        <f t="shared" si="1"/>
        <v/>
      </c>
    </row>
    <row r="48" spans="1:8" x14ac:dyDescent="0.35">
      <c r="A48">
        <v>62</v>
      </c>
      <c r="B48" s="15" t="s">
        <v>85</v>
      </c>
      <c r="C48" s="15" t="s">
        <v>35</v>
      </c>
      <c r="D48" s="15" t="s">
        <v>36</v>
      </c>
      <c r="E48" s="15" t="s">
        <v>9</v>
      </c>
      <c r="F48" s="15" t="s">
        <v>21</v>
      </c>
      <c r="H48" t="str">
        <f t="shared" si="1"/>
        <v/>
      </c>
    </row>
    <row r="49" spans="1:8" x14ac:dyDescent="0.35">
      <c r="A49">
        <v>62</v>
      </c>
      <c r="B49" s="15" t="s">
        <v>85</v>
      </c>
      <c r="C49" s="15" t="s">
        <v>133</v>
      </c>
      <c r="D49" s="15" t="s">
        <v>8</v>
      </c>
      <c r="E49" s="15" t="s">
        <v>9</v>
      </c>
      <c r="F49" s="15" t="s">
        <v>21</v>
      </c>
      <c r="H49" t="str">
        <f t="shared" si="1"/>
        <v/>
      </c>
    </row>
    <row r="50" spans="1:8" x14ac:dyDescent="0.35">
      <c r="A50">
        <v>68</v>
      </c>
      <c r="B50" s="17" t="s">
        <v>91</v>
      </c>
      <c r="C50" s="17" t="s">
        <v>7</v>
      </c>
      <c r="D50" s="17" t="s">
        <v>8</v>
      </c>
      <c r="E50" s="17" t="s">
        <v>9</v>
      </c>
      <c r="F50" s="17" t="s">
        <v>26</v>
      </c>
      <c r="G50" t="str">
        <f t="shared" ref="G50" si="17">IF(COUNTIF(D50:D52,"SVP")+COUNTIF(D50:D52,"FDP")&gt;=2,"rechts",IF(COUNTIF(D50:D52,"SP")+COUNTIF(D50:D52,"Grüne")&gt;=2,"links",""))</f>
        <v>links</v>
      </c>
      <c r="H50" t="str">
        <f t="shared" si="1"/>
        <v>links_kein_erfolg</v>
      </c>
    </row>
    <row r="51" spans="1:8" x14ac:dyDescent="0.35">
      <c r="A51">
        <v>68</v>
      </c>
      <c r="B51" s="17" t="s">
        <v>91</v>
      </c>
      <c r="C51" s="17" t="s">
        <v>128</v>
      </c>
      <c r="D51" s="17" t="s">
        <v>8</v>
      </c>
      <c r="E51" s="17" t="s">
        <v>9</v>
      </c>
      <c r="F51" s="17" t="s">
        <v>26</v>
      </c>
      <c r="H51" t="str">
        <f t="shared" si="1"/>
        <v/>
      </c>
    </row>
    <row r="52" spans="1:8" x14ac:dyDescent="0.35">
      <c r="A52">
        <v>68</v>
      </c>
      <c r="B52" s="17" t="s">
        <v>91</v>
      </c>
      <c r="C52" s="17" t="s">
        <v>130</v>
      </c>
      <c r="D52" s="17" t="s">
        <v>53</v>
      </c>
      <c r="E52" s="17" t="s">
        <v>9</v>
      </c>
      <c r="F52" s="17" t="s">
        <v>26</v>
      </c>
      <c r="H52" t="str">
        <f t="shared" si="1"/>
        <v/>
      </c>
    </row>
    <row r="53" spans="1:8" x14ac:dyDescent="0.35">
      <c r="A53">
        <v>64</v>
      </c>
      <c r="B53" s="4" t="s">
        <v>87</v>
      </c>
      <c r="C53" s="4" t="s">
        <v>7</v>
      </c>
      <c r="D53" s="4" t="s">
        <v>8</v>
      </c>
      <c r="E53" s="4" t="s">
        <v>9</v>
      </c>
      <c r="F53" s="4" t="s">
        <v>26</v>
      </c>
      <c r="G53" t="str">
        <f t="shared" ref="G53" si="18">IF(COUNTIF(D53:D55,"SVP")+COUNTIF(D53:D55,"FDP")&gt;=2,"rechts",IF(COUNTIF(D53:D55,"SP")+COUNTIF(D53:D55,"Grüne")&gt;=2,"links",""))</f>
        <v>links</v>
      </c>
      <c r="H53" t="str">
        <f t="shared" si="1"/>
        <v>links_kein_erfolg</v>
      </c>
    </row>
    <row r="54" spans="1:8" x14ac:dyDescent="0.35">
      <c r="A54">
        <v>64</v>
      </c>
      <c r="B54" s="4" t="s">
        <v>87</v>
      </c>
      <c r="C54" s="4" t="s">
        <v>130</v>
      </c>
      <c r="D54" s="4" t="s">
        <v>53</v>
      </c>
      <c r="E54" s="4" t="s">
        <v>9</v>
      </c>
      <c r="F54" s="4" t="s">
        <v>26</v>
      </c>
      <c r="H54" t="str">
        <f t="shared" si="1"/>
        <v/>
      </c>
    </row>
    <row r="55" spans="1:8" x14ac:dyDescent="0.35">
      <c r="A55">
        <v>64</v>
      </c>
      <c r="B55" s="4" t="s">
        <v>87</v>
      </c>
      <c r="C55" s="4" t="s">
        <v>154</v>
      </c>
      <c r="D55" s="4" t="s">
        <v>47</v>
      </c>
      <c r="E55" s="4" t="s">
        <v>9</v>
      </c>
      <c r="F55" s="4" t="s">
        <v>26</v>
      </c>
      <c r="H55" t="str">
        <f t="shared" si="1"/>
        <v/>
      </c>
    </row>
    <row r="56" spans="1:8" x14ac:dyDescent="0.35">
      <c r="A56">
        <v>21</v>
      </c>
      <c r="B56" s="2" t="s">
        <v>33</v>
      </c>
      <c r="C56" s="2" t="s">
        <v>7</v>
      </c>
      <c r="D56" s="2" t="s">
        <v>8</v>
      </c>
      <c r="E56" s="2" t="s">
        <v>9</v>
      </c>
      <c r="F56" s="2" t="s">
        <v>26</v>
      </c>
      <c r="G56" t="str">
        <f t="shared" ref="G56" si="19">IF(COUNTIF(D56:D58,"SVP")+COUNTIF(D56:D58,"FDP")&gt;=2,"rechts",IF(COUNTIF(D56:D58,"SP")+COUNTIF(D56:D58,"Grüne")&gt;=2,"links",""))</f>
        <v>rechts</v>
      </c>
      <c r="H56" t="str">
        <f t="shared" ref="H56:H76" si="20">IF(AND(OR(F56="gutgeheissen",F56="teilweise gutgeheissen"),G56="rechts"),"rechts_gutgeheissen",IF(G56="rechts","rechts_kein_erfolg",IF(AND(OR(F56="gutgeheissen",F56="teilweise gutgeheissen"),G56="links"),"links_gutgeheissen",IF(G56="links","links_kein_erfolg",""))))</f>
        <v>rechts_kein_erfolg</v>
      </c>
    </row>
    <row r="57" spans="1:8" x14ac:dyDescent="0.35">
      <c r="A57">
        <v>21</v>
      </c>
      <c r="B57" s="2" t="s">
        <v>33</v>
      </c>
      <c r="C57" s="2" t="s">
        <v>134</v>
      </c>
      <c r="D57" s="2" t="s">
        <v>69</v>
      </c>
      <c r="E57" s="2" t="s">
        <v>9</v>
      </c>
      <c r="F57" s="2" t="s">
        <v>26</v>
      </c>
      <c r="H57" t="str">
        <f t="shared" si="20"/>
        <v/>
      </c>
    </row>
    <row r="58" spans="1:8" x14ac:dyDescent="0.35">
      <c r="A58">
        <v>21</v>
      </c>
      <c r="B58" s="2" t="s">
        <v>33</v>
      </c>
      <c r="C58" s="2" t="s">
        <v>158</v>
      </c>
      <c r="D58" s="2" t="s">
        <v>69</v>
      </c>
      <c r="E58" s="2" t="s">
        <v>9</v>
      </c>
      <c r="F58" s="2" t="s">
        <v>26</v>
      </c>
      <c r="H58" t="str">
        <f t="shared" si="20"/>
        <v/>
      </c>
    </row>
    <row r="59" spans="1:8" x14ac:dyDescent="0.35">
      <c r="A59">
        <v>99</v>
      </c>
      <c r="B59" s="20" t="s">
        <v>127</v>
      </c>
      <c r="C59" s="20" t="s">
        <v>128</v>
      </c>
      <c r="D59" s="20" t="s">
        <v>8</v>
      </c>
      <c r="E59" s="20" t="s">
        <v>9</v>
      </c>
      <c r="F59" s="20" t="s">
        <v>26</v>
      </c>
      <c r="G59" t="str">
        <f t="shared" ref="G59" si="21">IF(COUNTIF(D59:D61,"SVP")+COUNTIF(D59:D61,"FDP")&gt;=2,"rechts",IF(COUNTIF(D59:D61,"SP")+COUNTIF(D59:D61,"Grüne")&gt;=2,"links",""))</f>
        <v>links</v>
      </c>
      <c r="H59" t="str">
        <f t="shared" si="20"/>
        <v>links_kein_erfolg</v>
      </c>
    </row>
    <row r="60" spans="1:8" x14ac:dyDescent="0.35">
      <c r="A60">
        <v>99</v>
      </c>
      <c r="B60" s="20" t="s">
        <v>127</v>
      </c>
      <c r="C60" s="20" t="s">
        <v>130</v>
      </c>
      <c r="D60" s="20" t="s">
        <v>53</v>
      </c>
      <c r="E60" s="20" t="s">
        <v>9</v>
      </c>
      <c r="F60" s="20" t="s">
        <v>26</v>
      </c>
      <c r="H60" t="str">
        <f t="shared" si="20"/>
        <v/>
      </c>
    </row>
    <row r="61" spans="1:8" x14ac:dyDescent="0.35">
      <c r="A61">
        <v>99</v>
      </c>
      <c r="B61" s="20" t="s">
        <v>127</v>
      </c>
      <c r="C61" s="20" t="s">
        <v>154</v>
      </c>
      <c r="D61" s="20" t="s">
        <v>47</v>
      </c>
      <c r="E61" s="20" t="s">
        <v>9</v>
      </c>
      <c r="F61" s="20" t="s">
        <v>26</v>
      </c>
      <c r="H61" t="str">
        <f t="shared" si="20"/>
        <v/>
      </c>
    </row>
    <row r="62" spans="1:8" x14ac:dyDescent="0.35">
      <c r="A62">
        <v>74</v>
      </c>
      <c r="B62" s="18" t="s">
        <v>98</v>
      </c>
      <c r="C62" s="18" t="s">
        <v>7</v>
      </c>
      <c r="D62" s="18" t="s">
        <v>8</v>
      </c>
      <c r="E62" s="18" t="s">
        <v>9</v>
      </c>
      <c r="F62" s="18" t="s">
        <v>10</v>
      </c>
      <c r="G62" t="str">
        <f t="shared" ref="G62" si="22">IF(COUNTIF(D62:D64,"SVP")+COUNTIF(D62:D64,"FDP")&gt;=2,"rechts",IF(COUNTIF(D62:D64,"SP")+COUNTIF(D62:D64,"Grüne")&gt;=2,"links",""))</f>
        <v>links</v>
      </c>
      <c r="H62" t="str">
        <f t="shared" si="20"/>
        <v>links_gutgeheissen</v>
      </c>
    </row>
    <row r="63" spans="1:8" x14ac:dyDescent="0.35">
      <c r="A63">
        <v>74</v>
      </c>
      <c r="B63" s="18" t="s">
        <v>98</v>
      </c>
      <c r="C63" s="18" t="s">
        <v>130</v>
      </c>
      <c r="D63" s="18" t="s">
        <v>53</v>
      </c>
      <c r="E63" s="18" t="s">
        <v>9</v>
      </c>
      <c r="F63" s="18" t="s">
        <v>10</v>
      </c>
      <c r="H63" t="str">
        <f t="shared" si="20"/>
        <v/>
      </c>
    </row>
    <row r="64" spans="1:8" x14ac:dyDescent="0.35">
      <c r="A64">
        <v>74</v>
      </c>
      <c r="B64" s="18" t="s">
        <v>98</v>
      </c>
      <c r="C64" s="18" t="s">
        <v>154</v>
      </c>
      <c r="D64" s="18" t="s">
        <v>47</v>
      </c>
      <c r="E64" s="18" t="s">
        <v>9</v>
      </c>
      <c r="F64" s="18" t="s">
        <v>10</v>
      </c>
      <c r="H64" t="str">
        <f t="shared" si="20"/>
        <v/>
      </c>
    </row>
    <row r="65" spans="1:8" s="4" customFormat="1" x14ac:dyDescent="0.35">
      <c r="A65" s="4">
        <v>100</v>
      </c>
      <c r="B65" s="4" t="s">
        <v>6</v>
      </c>
      <c r="C65" s="4" t="s">
        <v>7</v>
      </c>
      <c r="D65" s="4" t="s">
        <v>8</v>
      </c>
      <c r="E65" s="4" t="s">
        <v>9</v>
      </c>
      <c r="F65" s="4" t="s">
        <v>10</v>
      </c>
      <c r="G65" t="str">
        <f t="shared" ref="G65" si="23">IF(COUNTIF(D65:D67,"SVP")+COUNTIF(D65:D67,"FDP")&gt;=2,"rechts",IF(COUNTIF(D65:D67,"SP")+COUNTIF(D65:D67,"Grüne")&gt;=2,"links",""))</f>
        <v>links</v>
      </c>
      <c r="H65" t="str">
        <f t="shared" si="20"/>
        <v>links_gutgeheissen</v>
      </c>
    </row>
    <row r="66" spans="1:8" s="4" customFormat="1" x14ac:dyDescent="0.35">
      <c r="A66" s="4">
        <v>100</v>
      </c>
      <c r="B66" s="4" t="s">
        <v>6</v>
      </c>
      <c r="C66" s="4" t="s">
        <v>130</v>
      </c>
      <c r="D66" s="4" t="s">
        <v>53</v>
      </c>
      <c r="E66" s="4" t="s">
        <v>9</v>
      </c>
      <c r="F66" s="4" t="s">
        <v>10</v>
      </c>
      <c r="G66"/>
      <c r="H66" t="str">
        <f t="shared" si="20"/>
        <v/>
      </c>
    </row>
    <row r="67" spans="1:8" s="4" customFormat="1" x14ac:dyDescent="0.35">
      <c r="A67" s="4">
        <v>100</v>
      </c>
      <c r="B67" s="4" t="s">
        <v>6</v>
      </c>
      <c r="C67" s="4" t="s">
        <v>154</v>
      </c>
      <c r="D67" s="4" t="s">
        <v>47</v>
      </c>
      <c r="E67" s="4" t="s">
        <v>9</v>
      </c>
      <c r="F67" s="4" t="s">
        <v>10</v>
      </c>
      <c r="G67"/>
      <c r="H67" t="str">
        <f t="shared" si="20"/>
        <v/>
      </c>
    </row>
    <row r="68" spans="1:8" x14ac:dyDescent="0.35">
      <c r="A68">
        <v>50</v>
      </c>
      <c r="B68" s="3" t="s">
        <v>75</v>
      </c>
      <c r="C68" s="3" t="s">
        <v>7</v>
      </c>
      <c r="D68" s="3" t="s">
        <v>8</v>
      </c>
      <c r="E68" s="3" t="s">
        <v>9</v>
      </c>
      <c r="F68" s="3" t="s">
        <v>26</v>
      </c>
      <c r="G68" t="str">
        <f t="shared" ref="G68" si="24">IF(COUNTIF(D68:D70,"SVP")+COUNTIF(D68:D70,"FDP")&gt;=2,"rechts",IF(COUNTIF(D68:D70,"SP")+COUNTIF(D68:D70,"Grüne")&gt;=2,"links",""))</f>
        <v/>
      </c>
      <c r="H68" t="str">
        <f t="shared" si="20"/>
        <v/>
      </c>
    </row>
    <row r="69" spans="1:8" x14ac:dyDescent="0.35">
      <c r="A69">
        <v>50</v>
      </c>
      <c r="B69" s="3" t="s">
        <v>75</v>
      </c>
      <c r="C69" s="3" t="s">
        <v>134</v>
      </c>
      <c r="D69" s="3" t="s">
        <v>69</v>
      </c>
      <c r="E69" s="3" t="s">
        <v>9</v>
      </c>
      <c r="F69" s="3" t="s">
        <v>26</v>
      </c>
      <c r="H69" t="str">
        <f t="shared" si="20"/>
        <v/>
      </c>
    </row>
    <row r="70" spans="1:8" x14ac:dyDescent="0.35">
      <c r="A70">
        <v>50</v>
      </c>
      <c r="B70" s="3" t="s">
        <v>75</v>
      </c>
      <c r="C70" s="3" t="s">
        <v>154</v>
      </c>
      <c r="D70" s="3" t="s">
        <v>47</v>
      </c>
      <c r="E70" s="3" t="s">
        <v>9</v>
      </c>
      <c r="F70" s="3" t="s">
        <v>26</v>
      </c>
      <c r="H70" t="str">
        <f t="shared" si="20"/>
        <v/>
      </c>
    </row>
    <row r="71" spans="1:8" x14ac:dyDescent="0.35">
      <c r="A71">
        <v>14</v>
      </c>
      <c r="B71" s="2" t="s">
        <v>20</v>
      </c>
      <c r="C71" s="2" t="s">
        <v>7</v>
      </c>
      <c r="D71" s="2" t="s">
        <v>8</v>
      </c>
      <c r="E71" s="2" t="s">
        <v>9</v>
      </c>
      <c r="F71" s="2" t="s">
        <v>21</v>
      </c>
      <c r="G71" t="str">
        <f t="shared" ref="G71" si="25">IF(COUNTIF(D71:D73,"SVP")+COUNTIF(D71:D73,"FDP")&gt;=2,"rechts",IF(COUNTIF(D71:D73,"SP")+COUNTIF(D71:D73,"Grüne")&gt;=2,"links",""))</f>
        <v>links</v>
      </c>
      <c r="H71" t="str">
        <f t="shared" si="20"/>
        <v>links_gutgeheissen</v>
      </c>
    </row>
    <row r="72" spans="1:8" x14ac:dyDescent="0.35">
      <c r="A72">
        <v>14</v>
      </c>
      <c r="B72" s="2" t="s">
        <v>20</v>
      </c>
      <c r="C72" s="2" t="s">
        <v>130</v>
      </c>
      <c r="D72" s="2" t="s">
        <v>53</v>
      </c>
      <c r="E72" s="2" t="s">
        <v>9</v>
      </c>
      <c r="F72" s="2" t="s">
        <v>21</v>
      </c>
      <c r="H72" t="str">
        <f t="shared" si="20"/>
        <v/>
      </c>
    </row>
    <row r="73" spans="1:8" x14ac:dyDescent="0.35">
      <c r="A73">
        <v>14</v>
      </c>
      <c r="B73" s="2" t="s">
        <v>20</v>
      </c>
      <c r="C73" s="2" t="s">
        <v>154</v>
      </c>
      <c r="D73" s="2" t="s">
        <v>47</v>
      </c>
      <c r="E73" s="2" t="s">
        <v>9</v>
      </c>
      <c r="F73" s="2" t="s">
        <v>21</v>
      </c>
      <c r="H73" t="str">
        <f t="shared" si="20"/>
        <v/>
      </c>
    </row>
    <row r="74" spans="1:8" x14ac:dyDescent="0.35">
      <c r="A74">
        <v>38</v>
      </c>
      <c r="B74" s="16" t="s">
        <v>58</v>
      </c>
      <c r="C74" s="16" t="s">
        <v>7</v>
      </c>
      <c r="D74" s="16" t="s">
        <v>8</v>
      </c>
      <c r="E74" s="16" t="s">
        <v>9</v>
      </c>
      <c r="F74" s="16" t="s">
        <v>26</v>
      </c>
      <c r="G74" t="str">
        <f t="shared" ref="G74" si="26">IF(COUNTIF(D74:D76,"SVP")+COUNTIF(D74:D76,"FDP")&gt;=2,"rechts",IF(COUNTIF(D74:D76,"SP")+COUNTIF(D74:D76,"Grüne")&gt;=2,"links",""))</f>
        <v/>
      </c>
      <c r="H74" t="str">
        <f t="shared" si="20"/>
        <v/>
      </c>
    </row>
    <row r="75" spans="1:8" x14ac:dyDescent="0.35">
      <c r="A75">
        <v>38</v>
      </c>
      <c r="B75" s="16" t="s">
        <v>58</v>
      </c>
      <c r="C75" s="16" t="s">
        <v>134</v>
      </c>
      <c r="D75" s="16" t="s">
        <v>69</v>
      </c>
      <c r="E75" s="16" t="s">
        <v>9</v>
      </c>
      <c r="F75" s="16" t="s">
        <v>26</v>
      </c>
      <c r="H75" t="str">
        <f t="shared" si="20"/>
        <v/>
      </c>
    </row>
    <row r="76" spans="1:8" x14ac:dyDescent="0.35">
      <c r="A76">
        <v>38</v>
      </c>
      <c r="B76" s="16" t="s">
        <v>58</v>
      </c>
      <c r="C76" s="16" t="s">
        <v>154</v>
      </c>
      <c r="D76" s="16" t="s">
        <v>47</v>
      </c>
      <c r="E76" s="16" t="s">
        <v>9</v>
      </c>
      <c r="F76" s="16" t="s">
        <v>26</v>
      </c>
      <c r="H76" t="str">
        <f t="shared" si="20"/>
        <v/>
      </c>
    </row>
  </sheetData>
  <autoFilter ref="A1:F76" xr:uid="{00000000-0001-0000-0000-000000000000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0A4A-1148-48B6-8C63-F9D5C2F9EF1B}">
  <dimension ref="A1:J55"/>
  <sheetViews>
    <sheetView tabSelected="1" topLeftCell="B1" workbookViewId="0">
      <selection activeCell="I20" sqref="I20"/>
    </sheetView>
  </sheetViews>
  <sheetFormatPr baseColWidth="10" defaultColWidth="8.7265625" defaultRowHeight="14.5" x14ac:dyDescent="0.35"/>
  <cols>
    <col min="1" max="1" width="3.90625" customWidth="1"/>
    <col min="2" max="2" width="37.453125" customWidth="1"/>
    <col min="3" max="3" width="19.08984375" customWidth="1"/>
    <col min="4" max="4" width="21.6328125" customWidth="1"/>
    <col min="5" max="5" width="21.453125" customWidth="1"/>
    <col min="6" max="6" width="26.1796875" customWidth="1"/>
    <col min="7" max="7" width="25" customWidth="1"/>
    <col min="8" max="8" width="19.453125" customWidth="1"/>
    <col min="9" max="9" width="48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174</v>
      </c>
      <c r="I1" t="s">
        <v>172</v>
      </c>
      <c r="J1">
        <f>COUNTIF(G:G,"rechts")</f>
        <v>7</v>
      </c>
    </row>
    <row r="2" spans="1:10" x14ac:dyDescent="0.35">
      <c r="A2" s="1">
        <v>45</v>
      </c>
      <c r="B2" s="1" t="s">
        <v>67</v>
      </c>
      <c r="C2" s="1" t="s">
        <v>68</v>
      </c>
      <c r="D2" s="1" t="s">
        <v>69</v>
      </c>
      <c r="E2" s="1" t="s">
        <v>31</v>
      </c>
      <c r="F2" s="1" t="s">
        <v>10</v>
      </c>
      <c r="G2" t="str">
        <f>IF(COUNTIF(D2:D4,"SVP")+COUNTIF(D2:D4,"FDP")&gt;=2,"rechts",IF(COUNTIF(D2:D4,"SP")+COUNTIF(D2:D4,"Grüne")&gt;=2,"links",""))</f>
        <v>rechts</v>
      </c>
      <c r="H2" t="str">
        <f>IF(AND(OR(F2="gutgeheissen",F2="teilweise gutgeheissen"),G2="rechts"),"rechts_gutgeheissen",IF(G2="rechts","rechts_kein_erfolg",IF(AND(OR(F2="gutgeheissen",F2="teilweise gutgeheissen"),G2="links"),"links_gutgeheissen",IF(G2="links","links_kein_erfolg",""))))</f>
        <v>rechts_gutgeheissen</v>
      </c>
      <c r="I2" t="s">
        <v>173</v>
      </c>
      <c r="J2">
        <f>COUNTIF(G:G,"links")</f>
        <v>1</v>
      </c>
    </row>
    <row r="3" spans="1:10" x14ac:dyDescent="0.35">
      <c r="A3" s="1">
        <v>45</v>
      </c>
      <c r="B3" s="1" t="s">
        <v>67</v>
      </c>
      <c r="C3" s="1" t="s">
        <v>137</v>
      </c>
      <c r="D3" s="1" t="s">
        <v>13</v>
      </c>
      <c r="E3" s="1" t="s">
        <v>31</v>
      </c>
      <c r="F3" s="1" t="s">
        <v>10</v>
      </c>
      <c r="H3" t="str">
        <f t="shared" ref="H3:H37" si="0">IF(AND(OR(F3="gutgeheissen",F3="teilweise gutgeheissen"),G3="rechts"),"rechts_gutgeheissen",IF(G3="rechts","rechts_kein_erfolg",IF(AND(OR(F3="gutgeheissen",F3="teilweise gutgeheissen"),G3="links"),"links_gutgeheissen",IF(G3="links","links_kein_erfolg",""))))</f>
        <v/>
      </c>
      <c r="I3" t="s">
        <v>175</v>
      </c>
      <c r="J3">
        <f>COUNTIF(H:H,"rechts_gutgeheissen")</f>
        <v>4</v>
      </c>
    </row>
    <row r="4" spans="1:10" x14ac:dyDescent="0.35">
      <c r="A4" s="1">
        <v>45</v>
      </c>
      <c r="B4" s="1" t="s">
        <v>67</v>
      </c>
      <c r="C4" s="1" t="s">
        <v>156</v>
      </c>
      <c r="D4" s="1" t="s">
        <v>157</v>
      </c>
      <c r="E4" s="1" t="s">
        <v>31</v>
      </c>
      <c r="F4" s="1" t="s">
        <v>10</v>
      </c>
      <c r="H4" t="str">
        <f t="shared" si="0"/>
        <v/>
      </c>
      <c r="I4" t="s">
        <v>177</v>
      </c>
      <c r="J4">
        <f>COUNTIF(H:H,"links_gutgeheissen")</f>
        <v>0</v>
      </c>
    </row>
    <row r="5" spans="1:10" x14ac:dyDescent="0.35">
      <c r="A5" s="2">
        <v>58</v>
      </c>
      <c r="B5" s="2" t="s">
        <v>80</v>
      </c>
      <c r="C5" s="2" t="s">
        <v>30</v>
      </c>
      <c r="D5" s="2" t="s">
        <v>24</v>
      </c>
      <c r="E5" s="2" t="s">
        <v>31</v>
      </c>
      <c r="F5" s="2" t="s">
        <v>15</v>
      </c>
      <c r="G5" t="str">
        <f t="shared" ref="G5" si="1">IF(COUNTIF(D5:D7,"SVP")+COUNTIF(D5:D7,"FDP")&gt;=2,"rechts",IF(COUNTIF(D5:D7,"SP")+COUNTIF(D5:D7,"Grüne")&gt;=2,"links",""))</f>
        <v/>
      </c>
      <c r="H5" t="str">
        <f t="shared" si="0"/>
        <v/>
      </c>
      <c r="I5" t="s">
        <v>176</v>
      </c>
      <c r="J5" s="22">
        <f>100/J1*J3</f>
        <v>57.142857142857146</v>
      </c>
    </row>
    <row r="6" spans="1:10" x14ac:dyDescent="0.35">
      <c r="A6" s="2">
        <v>58</v>
      </c>
      <c r="B6" s="2" t="s">
        <v>80</v>
      </c>
      <c r="C6" s="2" t="s">
        <v>65</v>
      </c>
      <c r="D6" s="2" t="s">
        <v>8</v>
      </c>
      <c r="E6" s="2" t="s">
        <v>31</v>
      </c>
      <c r="F6" s="2" t="s">
        <v>15</v>
      </c>
      <c r="H6" t="str">
        <f t="shared" si="0"/>
        <v/>
      </c>
      <c r="I6" t="s">
        <v>176</v>
      </c>
      <c r="J6" s="22">
        <f>100/J2*J4</f>
        <v>0</v>
      </c>
    </row>
    <row r="7" spans="1:10" x14ac:dyDescent="0.35">
      <c r="A7" s="2">
        <v>58</v>
      </c>
      <c r="B7" s="2" t="s">
        <v>80</v>
      </c>
      <c r="C7" s="2" t="s">
        <v>68</v>
      </c>
      <c r="D7" s="2" t="s">
        <v>69</v>
      </c>
      <c r="E7" s="2" t="s">
        <v>31</v>
      </c>
      <c r="F7" s="2" t="s">
        <v>15</v>
      </c>
      <c r="H7" t="str">
        <f t="shared" si="0"/>
        <v/>
      </c>
    </row>
    <row r="8" spans="1:10" x14ac:dyDescent="0.35">
      <c r="A8" s="3">
        <v>27</v>
      </c>
      <c r="B8" s="3" t="s">
        <v>41</v>
      </c>
      <c r="C8" s="3" t="s">
        <v>30</v>
      </c>
      <c r="D8" s="3" t="s">
        <v>24</v>
      </c>
      <c r="E8" s="3" t="s">
        <v>31</v>
      </c>
      <c r="F8" s="3" t="s">
        <v>15</v>
      </c>
      <c r="G8" t="str">
        <f t="shared" ref="G8" si="2">IF(COUNTIF(D8:D10,"SVP")+COUNTIF(D8:D10,"FDP")&gt;=2,"rechts",IF(COUNTIF(D8:D10,"SP")+COUNTIF(D8:D10,"Grüne")&gt;=2,"links",""))</f>
        <v/>
      </c>
      <c r="H8" t="str">
        <f t="shared" si="0"/>
        <v/>
      </c>
    </row>
    <row r="9" spans="1:10" x14ac:dyDescent="0.35">
      <c r="A9" s="3">
        <v>27</v>
      </c>
      <c r="B9" s="3" t="s">
        <v>41</v>
      </c>
      <c r="C9" s="3" t="s">
        <v>137</v>
      </c>
      <c r="D9" s="3" t="s">
        <v>13</v>
      </c>
      <c r="E9" s="3" t="s">
        <v>31</v>
      </c>
      <c r="F9" s="3" t="s">
        <v>15</v>
      </c>
      <c r="H9" t="str">
        <f t="shared" si="0"/>
        <v/>
      </c>
    </row>
    <row r="10" spans="1:10" x14ac:dyDescent="0.35">
      <c r="A10" s="3">
        <v>27</v>
      </c>
      <c r="B10" s="3" t="s">
        <v>41</v>
      </c>
      <c r="C10" s="3" t="s">
        <v>156</v>
      </c>
      <c r="D10" s="3" t="s">
        <v>157</v>
      </c>
      <c r="E10" s="3" t="s">
        <v>31</v>
      </c>
      <c r="F10" s="3" t="s">
        <v>15</v>
      </c>
      <c r="H10" t="str">
        <f t="shared" si="0"/>
        <v/>
      </c>
    </row>
    <row r="11" spans="1:10" x14ac:dyDescent="0.35">
      <c r="A11" s="4">
        <v>7</v>
      </c>
      <c r="B11" s="4" t="s">
        <v>105</v>
      </c>
      <c r="C11" s="4" t="s">
        <v>30</v>
      </c>
      <c r="D11" s="4" t="s">
        <v>24</v>
      </c>
      <c r="E11" s="4" t="s">
        <v>31</v>
      </c>
      <c r="F11" s="4" t="s">
        <v>15</v>
      </c>
      <c r="G11" t="str">
        <f t="shared" ref="G11" si="3">IF(COUNTIF(D11:D13,"SVP")+COUNTIF(D11:D13,"FDP")&gt;=2,"rechts",IF(COUNTIF(D11:D13,"SP")+COUNTIF(D11:D13,"Grüne")&gt;=2,"links",""))</f>
        <v/>
      </c>
      <c r="H11" t="str">
        <f t="shared" si="0"/>
        <v/>
      </c>
    </row>
    <row r="12" spans="1:10" x14ac:dyDescent="0.35">
      <c r="A12" s="4">
        <v>7</v>
      </c>
      <c r="B12" s="4" t="s">
        <v>105</v>
      </c>
      <c r="C12" s="4" t="s">
        <v>65</v>
      </c>
      <c r="D12" s="4" t="s">
        <v>8</v>
      </c>
      <c r="E12" s="4" t="s">
        <v>31</v>
      </c>
      <c r="F12" s="4" t="s">
        <v>15</v>
      </c>
      <c r="H12" t="str">
        <f t="shared" si="0"/>
        <v/>
      </c>
    </row>
    <row r="13" spans="1:10" x14ac:dyDescent="0.35">
      <c r="A13" s="4">
        <v>7</v>
      </c>
      <c r="B13" s="4" t="s">
        <v>105</v>
      </c>
      <c r="C13" s="4" t="s">
        <v>164</v>
      </c>
      <c r="D13" s="4" t="s">
        <v>13</v>
      </c>
      <c r="E13" s="4" t="s">
        <v>31</v>
      </c>
      <c r="F13" s="4" t="s">
        <v>15</v>
      </c>
      <c r="H13" t="str">
        <f t="shared" si="0"/>
        <v/>
      </c>
    </row>
    <row r="14" spans="1:10" x14ac:dyDescent="0.35">
      <c r="A14" s="5">
        <v>46</v>
      </c>
      <c r="B14" s="5" t="s">
        <v>70</v>
      </c>
      <c r="C14" s="5" t="s">
        <v>68</v>
      </c>
      <c r="D14" s="5" t="s">
        <v>69</v>
      </c>
      <c r="E14" s="5" t="s">
        <v>31</v>
      </c>
      <c r="F14" s="5" t="s">
        <v>10</v>
      </c>
      <c r="G14" t="str">
        <f t="shared" ref="G14" si="4">IF(COUNTIF(D14:D16,"SVP")+COUNTIF(D14:D16,"FDP")&gt;=2,"rechts",IF(COUNTIF(D14:D16,"SP")+COUNTIF(D14:D16,"Grüne")&gt;=2,"links",""))</f>
        <v>rechts</v>
      </c>
      <c r="H14" t="str">
        <f t="shared" si="0"/>
        <v>rechts_gutgeheissen</v>
      </c>
    </row>
    <row r="15" spans="1:10" x14ac:dyDescent="0.35">
      <c r="A15" s="5">
        <v>46</v>
      </c>
      <c r="B15" s="5" t="s">
        <v>70</v>
      </c>
      <c r="C15" s="5" t="s">
        <v>137</v>
      </c>
      <c r="D15" s="5" t="s">
        <v>13</v>
      </c>
      <c r="E15" s="5" t="s">
        <v>31</v>
      </c>
      <c r="F15" s="5" t="s">
        <v>10</v>
      </c>
      <c r="H15" t="str">
        <f t="shared" si="0"/>
        <v/>
      </c>
    </row>
    <row r="16" spans="1:10" x14ac:dyDescent="0.35">
      <c r="A16" s="5">
        <v>46</v>
      </c>
      <c r="B16" s="5" t="s">
        <v>70</v>
      </c>
      <c r="C16" s="5" t="s">
        <v>156</v>
      </c>
      <c r="D16" s="5" t="s">
        <v>157</v>
      </c>
      <c r="E16" s="5" t="s">
        <v>31</v>
      </c>
      <c r="F16" s="5" t="s">
        <v>10</v>
      </c>
      <c r="H16" t="str">
        <f t="shared" si="0"/>
        <v/>
      </c>
    </row>
    <row r="17" spans="1:8" x14ac:dyDescent="0.35">
      <c r="A17" s="6">
        <v>89</v>
      </c>
      <c r="B17" s="6" t="s">
        <v>116</v>
      </c>
      <c r="C17" s="6" t="s">
        <v>65</v>
      </c>
      <c r="D17" s="6" t="s">
        <v>8</v>
      </c>
      <c r="E17" s="6" t="s">
        <v>31</v>
      </c>
      <c r="F17" s="6" t="s">
        <v>10</v>
      </c>
      <c r="G17" t="str">
        <f t="shared" ref="G17" si="5">IF(COUNTIF(D17:D19,"SVP")+COUNTIF(D17:D19,"FDP")&gt;=2,"rechts",IF(COUNTIF(D17:D19,"SP")+COUNTIF(D17:D19,"Grüne")&gt;=2,"links",""))</f>
        <v/>
      </c>
      <c r="H17" t="str">
        <f t="shared" si="0"/>
        <v/>
      </c>
    </row>
    <row r="18" spans="1:8" x14ac:dyDescent="0.35">
      <c r="A18" s="6">
        <v>89</v>
      </c>
      <c r="B18" s="6" t="s">
        <v>116</v>
      </c>
      <c r="C18" s="6" t="s">
        <v>68</v>
      </c>
      <c r="D18" s="6" t="s">
        <v>69</v>
      </c>
      <c r="E18" s="6" t="s">
        <v>31</v>
      </c>
      <c r="F18" s="6" t="s">
        <v>10</v>
      </c>
      <c r="H18" t="str">
        <f t="shared" si="0"/>
        <v/>
      </c>
    </row>
    <row r="19" spans="1:8" x14ac:dyDescent="0.35">
      <c r="A19" s="6">
        <v>89</v>
      </c>
      <c r="B19" s="6" t="s">
        <v>116</v>
      </c>
      <c r="C19" s="6" t="s">
        <v>150</v>
      </c>
      <c r="D19" s="6" t="s">
        <v>47</v>
      </c>
      <c r="E19" s="6" t="s">
        <v>31</v>
      </c>
      <c r="F19" s="6" t="s">
        <v>10</v>
      </c>
      <c r="H19" t="str">
        <f t="shared" si="0"/>
        <v/>
      </c>
    </row>
    <row r="20" spans="1:8" x14ac:dyDescent="0.35">
      <c r="A20" s="7">
        <v>73</v>
      </c>
      <c r="B20" s="7" t="s">
        <v>97</v>
      </c>
      <c r="C20" s="7" t="s">
        <v>30</v>
      </c>
      <c r="D20" s="7" t="s">
        <v>24</v>
      </c>
      <c r="E20" s="7" t="s">
        <v>31</v>
      </c>
      <c r="F20" s="7" t="s">
        <v>21</v>
      </c>
      <c r="G20" t="str">
        <f t="shared" ref="G20" si="6">IF(COUNTIF(D20:D22,"SVP")+COUNTIF(D20:D22,"FDP")&gt;=2,"rechts",IF(COUNTIF(D20:D22,"SP")+COUNTIF(D20:D22,"Grüne")&gt;=2,"links",""))</f>
        <v/>
      </c>
      <c r="H20" t="str">
        <f t="shared" si="0"/>
        <v/>
      </c>
    </row>
    <row r="21" spans="1:8" x14ac:dyDescent="0.35">
      <c r="A21" s="7">
        <v>73</v>
      </c>
      <c r="B21" s="7" t="s">
        <v>97</v>
      </c>
      <c r="C21" s="7" t="s">
        <v>68</v>
      </c>
      <c r="D21" s="7" t="s">
        <v>69</v>
      </c>
      <c r="E21" s="7" t="s">
        <v>31</v>
      </c>
      <c r="F21" s="7" t="s">
        <v>21</v>
      </c>
      <c r="H21" t="str">
        <f t="shared" si="0"/>
        <v/>
      </c>
    </row>
    <row r="22" spans="1:8" x14ac:dyDescent="0.35">
      <c r="A22" s="7">
        <v>73</v>
      </c>
      <c r="B22" s="7" t="s">
        <v>97</v>
      </c>
      <c r="C22" s="7" t="s">
        <v>156</v>
      </c>
      <c r="D22" s="7" t="s">
        <v>157</v>
      </c>
      <c r="E22" s="7" t="s">
        <v>31</v>
      </c>
      <c r="F22" s="7" t="s">
        <v>21</v>
      </c>
      <c r="H22" t="str">
        <f t="shared" si="0"/>
        <v/>
      </c>
    </row>
    <row r="23" spans="1:8" x14ac:dyDescent="0.35">
      <c r="A23" s="8">
        <v>43</v>
      </c>
      <c r="B23" s="8" t="s">
        <v>64</v>
      </c>
      <c r="C23" s="8" t="s">
        <v>65</v>
      </c>
      <c r="D23" s="8" t="s">
        <v>8</v>
      </c>
      <c r="E23" s="8" t="s">
        <v>31</v>
      </c>
      <c r="F23" s="8" t="s">
        <v>10</v>
      </c>
      <c r="G23" t="str">
        <f t="shared" ref="G23" si="7">IF(COUNTIF(D23:D25,"SVP")+COUNTIF(D23:D25,"FDP")&gt;=2,"rechts",IF(COUNTIF(D23:D25,"SP")+COUNTIF(D23:D25,"Grüne")&gt;=2,"links",""))</f>
        <v/>
      </c>
      <c r="H23" t="str">
        <f t="shared" si="0"/>
        <v/>
      </c>
    </row>
    <row r="24" spans="1:8" x14ac:dyDescent="0.35">
      <c r="A24" s="8">
        <v>43</v>
      </c>
      <c r="B24" s="8" t="s">
        <v>64</v>
      </c>
      <c r="C24" s="8" t="s">
        <v>68</v>
      </c>
      <c r="D24" s="8" t="s">
        <v>69</v>
      </c>
      <c r="E24" s="8" t="s">
        <v>31</v>
      </c>
      <c r="F24" s="8" t="s">
        <v>10</v>
      </c>
      <c r="H24" t="str">
        <f t="shared" si="0"/>
        <v/>
      </c>
    </row>
    <row r="25" spans="1:8" x14ac:dyDescent="0.35">
      <c r="A25" s="8">
        <v>43</v>
      </c>
      <c r="B25" s="8" t="s">
        <v>64</v>
      </c>
      <c r="C25" s="8" t="s">
        <v>150</v>
      </c>
      <c r="D25" s="8" t="s">
        <v>47</v>
      </c>
      <c r="E25" s="8" t="s">
        <v>31</v>
      </c>
      <c r="F25" s="8" t="s">
        <v>10</v>
      </c>
      <c r="H25" t="str">
        <f t="shared" si="0"/>
        <v/>
      </c>
    </row>
    <row r="26" spans="1:8" x14ac:dyDescent="0.35">
      <c r="A26" s="7">
        <v>1</v>
      </c>
      <c r="B26" s="7" t="s">
        <v>29</v>
      </c>
      <c r="C26" s="7" t="s">
        <v>30</v>
      </c>
      <c r="D26" s="7" t="s">
        <v>24</v>
      </c>
      <c r="E26" s="7" t="s">
        <v>31</v>
      </c>
      <c r="F26" s="7" t="s">
        <v>26</v>
      </c>
      <c r="G26" t="str">
        <f t="shared" ref="G26" si="8">IF(COUNTIF(D26:D28,"SVP")+COUNTIF(D26:D28,"FDP")&gt;=2,"rechts",IF(COUNTIF(D26:D28,"SP")+COUNTIF(D26:D28,"Grüne")&gt;=2,"links",""))</f>
        <v/>
      </c>
      <c r="H26" t="str">
        <f t="shared" si="0"/>
        <v/>
      </c>
    </row>
    <row r="27" spans="1:8" x14ac:dyDescent="0.35">
      <c r="A27" s="7">
        <v>1</v>
      </c>
      <c r="B27" s="7" t="s">
        <v>29</v>
      </c>
      <c r="C27" s="7" t="s">
        <v>65</v>
      </c>
      <c r="D27" s="7" t="s">
        <v>8</v>
      </c>
      <c r="E27" s="7" t="s">
        <v>31</v>
      </c>
      <c r="F27" s="7" t="s">
        <v>26</v>
      </c>
      <c r="H27" t="str">
        <f t="shared" si="0"/>
        <v/>
      </c>
    </row>
    <row r="28" spans="1:8" x14ac:dyDescent="0.35">
      <c r="A28" s="7">
        <v>1</v>
      </c>
      <c r="B28" s="7" t="s">
        <v>29</v>
      </c>
      <c r="C28" s="7" t="s">
        <v>156</v>
      </c>
      <c r="D28" s="7" t="s">
        <v>157</v>
      </c>
      <c r="E28" s="7" t="s">
        <v>31</v>
      </c>
      <c r="F28" s="7" t="s">
        <v>26</v>
      </c>
      <c r="H28" t="str">
        <f t="shared" si="0"/>
        <v/>
      </c>
    </row>
    <row r="29" spans="1:8" x14ac:dyDescent="0.35">
      <c r="A29">
        <v>91</v>
      </c>
      <c r="B29" s="13" t="s">
        <v>119</v>
      </c>
      <c r="C29" s="13" t="s">
        <v>35</v>
      </c>
      <c r="D29" s="13" t="s">
        <v>36</v>
      </c>
      <c r="E29" s="13" t="s">
        <v>31</v>
      </c>
      <c r="F29" s="13" t="s">
        <v>10</v>
      </c>
      <c r="G29" t="str">
        <f t="shared" ref="G29" si="9">IF(COUNTIF(D29:D31,"SVP")+COUNTIF(D29:D31,"FDP")&gt;=2,"rechts",IF(COUNTIF(D29:D31,"SP")+COUNTIF(D29:D31,"Grüne")&gt;=2,"links",""))</f>
        <v/>
      </c>
      <c r="H29" t="str">
        <f t="shared" si="0"/>
        <v/>
      </c>
    </row>
    <row r="30" spans="1:8" x14ac:dyDescent="0.35">
      <c r="A30">
        <v>91</v>
      </c>
      <c r="B30" s="13" t="s">
        <v>119</v>
      </c>
      <c r="C30" s="13" t="s">
        <v>150</v>
      </c>
      <c r="D30" s="13" t="s">
        <v>47</v>
      </c>
      <c r="E30" s="13" t="s">
        <v>31</v>
      </c>
      <c r="F30" s="13" t="s">
        <v>10</v>
      </c>
      <c r="H30" t="str">
        <f t="shared" si="0"/>
        <v/>
      </c>
    </row>
    <row r="31" spans="1:8" x14ac:dyDescent="0.35">
      <c r="A31">
        <v>91</v>
      </c>
      <c r="B31" s="13" t="s">
        <v>119</v>
      </c>
      <c r="C31" s="13" t="s">
        <v>165</v>
      </c>
      <c r="D31" s="13" t="s">
        <v>8</v>
      </c>
      <c r="E31" s="13" t="s">
        <v>31</v>
      </c>
      <c r="F31" s="13" t="s">
        <v>10</v>
      </c>
      <c r="H31" t="str">
        <f t="shared" si="0"/>
        <v/>
      </c>
    </row>
    <row r="32" spans="1:8" x14ac:dyDescent="0.35">
      <c r="A32" s="2">
        <v>39</v>
      </c>
      <c r="B32" s="2" t="s">
        <v>59</v>
      </c>
      <c r="C32" s="2" t="s">
        <v>52</v>
      </c>
      <c r="D32" s="2" t="s">
        <v>53</v>
      </c>
      <c r="E32" s="2" t="s">
        <v>31</v>
      </c>
      <c r="F32" s="2" t="s">
        <v>26</v>
      </c>
      <c r="G32" t="str">
        <f t="shared" ref="G32" si="10">IF(COUNTIF(D32:D34,"SVP")+COUNTIF(D32:D34,"FDP")&gt;=2,"rechts",IF(COUNTIF(D32:D34,"SP")+COUNTIF(D32:D34,"Grüne")&gt;=2,"links",""))</f>
        <v/>
      </c>
      <c r="H32" t="str">
        <f t="shared" si="0"/>
        <v/>
      </c>
    </row>
    <row r="33" spans="1:8" x14ac:dyDescent="0.35">
      <c r="A33" s="2">
        <v>39</v>
      </c>
      <c r="B33" s="2" t="s">
        <v>59</v>
      </c>
      <c r="C33" s="2" t="s">
        <v>35</v>
      </c>
      <c r="D33" s="2" t="s">
        <v>36</v>
      </c>
      <c r="E33" s="2" t="s">
        <v>31</v>
      </c>
      <c r="F33" s="2" t="s">
        <v>26</v>
      </c>
      <c r="H33" t="str">
        <f t="shared" si="0"/>
        <v/>
      </c>
    </row>
    <row r="34" spans="1:8" x14ac:dyDescent="0.35">
      <c r="A34" s="2">
        <v>39</v>
      </c>
      <c r="B34" s="2" t="s">
        <v>59</v>
      </c>
      <c r="C34" s="2" t="s">
        <v>146</v>
      </c>
      <c r="D34" s="2" t="s">
        <v>13</v>
      </c>
      <c r="E34" s="2" t="s">
        <v>31</v>
      </c>
      <c r="F34" s="2" t="s">
        <v>26</v>
      </c>
      <c r="H34" t="str">
        <f t="shared" si="0"/>
        <v/>
      </c>
    </row>
    <row r="35" spans="1:8" x14ac:dyDescent="0.35">
      <c r="A35">
        <v>40</v>
      </c>
      <c r="B35" s="14" t="s">
        <v>61</v>
      </c>
      <c r="C35" s="14" t="s">
        <v>52</v>
      </c>
      <c r="D35" s="14" t="s">
        <v>53</v>
      </c>
      <c r="E35" s="14" t="s">
        <v>31</v>
      </c>
      <c r="F35" s="14" t="s">
        <v>26</v>
      </c>
      <c r="G35" t="str">
        <f t="shared" ref="G35" si="11">IF(COUNTIF(D35:D37,"SVP")+COUNTIF(D35:D37,"FDP")&gt;=2,"rechts",IF(COUNTIF(D35:D37,"SP")+COUNTIF(D35:D37,"Grüne")&gt;=2,"links",""))</f>
        <v/>
      </c>
      <c r="H35" t="str">
        <f t="shared" si="0"/>
        <v/>
      </c>
    </row>
    <row r="36" spans="1:8" x14ac:dyDescent="0.35">
      <c r="A36">
        <v>40</v>
      </c>
      <c r="B36" s="14" t="s">
        <v>61</v>
      </c>
      <c r="C36" s="14" t="s">
        <v>35</v>
      </c>
      <c r="D36" s="14" t="s">
        <v>36</v>
      </c>
      <c r="E36" s="14" t="s">
        <v>31</v>
      </c>
      <c r="F36" s="14" t="s">
        <v>26</v>
      </c>
      <c r="H36" t="str">
        <f t="shared" si="0"/>
        <v/>
      </c>
    </row>
    <row r="37" spans="1:8" x14ac:dyDescent="0.35">
      <c r="A37">
        <v>40</v>
      </c>
      <c r="B37" s="14" t="s">
        <v>61</v>
      </c>
      <c r="C37" s="14" t="s">
        <v>146</v>
      </c>
      <c r="D37" s="14" t="s">
        <v>13</v>
      </c>
      <c r="E37" s="14" t="s">
        <v>31</v>
      </c>
      <c r="F37" s="14" t="s">
        <v>26</v>
      </c>
      <c r="H37" t="str">
        <f t="shared" si="0"/>
        <v/>
      </c>
    </row>
    <row r="38" spans="1:8" x14ac:dyDescent="0.35">
      <c r="A38">
        <v>54</v>
      </c>
      <c r="B38" s="14" t="s">
        <v>78</v>
      </c>
      <c r="C38" s="14" t="s">
        <v>74</v>
      </c>
      <c r="D38" s="14" t="s">
        <v>69</v>
      </c>
      <c r="E38" s="14" t="s">
        <v>31</v>
      </c>
      <c r="F38" s="14" t="s">
        <v>21</v>
      </c>
      <c r="G38" t="str">
        <f t="shared" ref="G38" si="12">IF(COUNTIF(D38:D40,"SVP")+COUNTIF(D38:D40,"FDP")&gt;=2,"rechts",IF(COUNTIF(D38:D40,"SP")+COUNTIF(D38:D40,"Grüne")&gt;=2,"links",""))</f>
        <v>rechts</v>
      </c>
      <c r="H38" t="str">
        <f t="shared" ref="H38:H55" si="13">IF(AND(OR(F38="gutgeheissen",F38="teilweise gutgeheissen"),G38="rechts"),"rechts_gutgeheissen",IF(G38="rechts","rechts_kein_erfolg",IF(AND(OR(F38="gutgeheissen",F38="teilweise gutgeheissen"),G38="links"),"links_gutgeheissen",IF(G38="links","links_kein_erfolg",""))))</f>
        <v>rechts_gutgeheissen</v>
      </c>
    </row>
    <row r="39" spans="1:8" x14ac:dyDescent="0.35">
      <c r="A39">
        <v>54</v>
      </c>
      <c r="B39" s="14" t="s">
        <v>78</v>
      </c>
      <c r="C39" s="14" t="s">
        <v>141</v>
      </c>
      <c r="D39" s="14" t="s">
        <v>47</v>
      </c>
      <c r="E39" s="14" t="s">
        <v>31</v>
      </c>
      <c r="F39" s="14" t="s">
        <v>21</v>
      </c>
      <c r="H39" t="str">
        <f t="shared" si="13"/>
        <v/>
      </c>
    </row>
    <row r="40" spans="1:8" x14ac:dyDescent="0.35">
      <c r="A40">
        <v>54</v>
      </c>
      <c r="B40" s="14" t="s">
        <v>78</v>
      </c>
      <c r="C40" s="14" t="s">
        <v>138</v>
      </c>
      <c r="D40" s="14" t="s">
        <v>69</v>
      </c>
      <c r="E40" s="14" t="s">
        <v>31</v>
      </c>
      <c r="F40" s="14" t="s">
        <v>21</v>
      </c>
      <c r="H40" t="str">
        <f t="shared" si="13"/>
        <v/>
      </c>
    </row>
    <row r="41" spans="1:8" x14ac:dyDescent="0.35">
      <c r="A41">
        <v>69</v>
      </c>
      <c r="B41" s="16" t="s">
        <v>92</v>
      </c>
      <c r="C41" s="16" t="s">
        <v>74</v>
      </c>
      <c r="D41" s="16" t="s">
        <v>69</v>
      </c>
      <c r="E41" s="16" t="s">
        <v>31</v>
      </c>
      <c r="F41" s="16" t="s">
        <v>26</v>
      </c>
      <c r="G41" t="str">
        <f t="shared" ref="G41" si="14">IF(COUNTIF(D41:D43,"SVP")+COUNTIF(D41:D43,"FDP")&gt;=2,"rechts",IF(COUNTIF(D41:D43,"SP")+COUNTIF(D41:D43,"Grüne")&gt;=2,"links",""))</f>
        <v>rechts</v>
      </c>
      <c r="H41" t="str">
        <f t="shared" si="13"/>
        <v>rechts_kein_erfolg</v>
      </c>
    </row>
    <row r="42" spans="1:8" x14ac:dyDescent="0.35">
      <c r="A42">
        <v>69</v>
      </c>
      <c r="B42" s="16" t="s">
        <v>92</v>
      </c>
      <c r="C42" s="16" t="s">
        <v>138</v>
      </c>
      <c r="D42" s="16" t="s">
        <v>69</v>
      </c>
      <c r="E42" s="16" t="s">
        <v>31</v>
      </c>
      <c r="F42" s="16" t="s">
        <v>26</v>
      </c>
      <c r="H42" t="str">
        <f t="shared" si="13"/>
        <v/>
      </c>
    </row>
    <row r="43" spans="1:8" x14ac:dyDescent="0.35">
      <c r="A43">
        <v>69</v>
      </c>
      <c r="B43" s="16" t="s">
        <v>92</v>
      </c>
      <c r="C43" s="16" t="s">
        <v>163</v>
      </c>
      <c r="D43" s="16" t="s">
        <v>53</v>
      </c>
      <c r="E43" s="16" t="s">
        <v>31</v>
      </c>
      <c r="F43" s="16" t="s">
        <v>26</v>
      </c>
      <c r="H43" t="str">
        <f t="shared" si="13"/>
        <v/>
      </c>
    </row>
    <row r="44" spans="1:8" x14ac:dyDescent="0.35">
      <c r="A44">
        <v>4</v>
      </c>
      <c r="B44" s="7" t="s">
        <v>73</v>
      </c>
      <c r="C44" s="7" t="s">
        <v>74</v>
      </c>
      <c r="D44" s="7" t="s">
        <v>69</v>
      </c>
      <c r="E44" s="7" t="s">
        <v>31</v>
      </c>
      <c r="F44" s="7" t="s">
        <v>26</v>
      </c>
      <c r="G44" t="str">
        <f t="shared" ref="G44" si="15">IF(COUNTIF(D44:D46,"SVP")+COUNTIF(D44:D46,"FDP")&gt;=2,"rechts",IF(COUNTIF(D44:D46,"SP")+COUNTIF(D44:D46,"Grüne")&gt;=2,"links",""))</f>
        <v>rechts</v>
      </c>
      <c r="H44" t="str">
        <f t="shared" si="13"/>
        <v>rechts_kein_erfolg</v>
      </c>
    </row>
    <row r="45" spans="1:8" x14ac:dyDescent="0.35">
      <c r="A45">
        <v>4</v>
      </c>
      <c r="B45" s="7" t="s">
        <v>73</v>
      </c>
      <c r="C45" s="7" t="s">
        <v>141</v>
      </c>
      <c r="D45" s="7" t="s">
        <v>47</v>
      </c>
      <c r="E45" s="7" t="s">
        <v>31</v>
      </c>
      <c r="F45" s="7" t="s">
        <v>26</v>
      </c>
      <c r="H45" t="str">
        <f t="shared" si="13"/>
        <v/>
      </c>
    </row>
    <row r="46" spans="1:8" x14ac:dyDescent="0.35">
      <c r="A46">
        <v>4</v>
      </c>
      <c r="B46" s="7" t="s">
        <v>73</v>
      </c>
      <c r="C46" s="7" t="s">
        <v>160</v>
      </c>
      <c r="D46" s="7" t="s">
        <v>13</v>
      </c>
      <c r="E46" s="7" t="s">
        <v>31</v>
      </c>
      <c r="F46" s="7" t="s">
        <v>26</v>
      </c>
      <c r="H46" t="str">
        <f t="shared" si="13"/>
        <v/>
      </c>
    </row>
    <row r="47" spans="1:8" x14ac:dyDescent="0.35">
      <c r="A47">
        <v>96</v>
      </c>
      <c r="B47" s="7" t="s">
        <v>124</v>
      </c>
      <c r="C47" s="7" t="s">
        <v>104</v>
      </c>
      <c r="D47" s="7" t="s">
        <v>69</v>
      </c>
      <c r="E47" s="7" t="s">
        <v>31</v>
      </c>
      <c r="F47" s="7" t="s">
        <v>15</v>
      </c>
      <c r="G47" t="str">
        <f t="shared" ref="G47" si="16">IF(COUNTIF(D47:D49,"SVP")+COUNTIF(D47:D49,"FDP")&gt;=2,"rechts",IF(COUNTIF(D47:D49,"SP")+COUNTIF(D47:D49,"Grüne")&gt;=2,"links",""))</f>
        <v>rechts</v>
      </c>
      <c r="H47" t="str">
        <f t="shared" si="13"/>
        <v>rechts_kein_erfolg</v>
      </c>
    </row>
    <row r="48" spans="1:8" x14ac:dyDescent="0.35">
      <c r="A48">
        <v>96</v>
      </c>
      <c r="B48" s="7" t="s">
        <v>124</v>
      </c>
      <c r="C48" s="7" t="s">
        <v>152</v>
      </c>
      <c r="D48" s="7" t="s">
        <v>8</v>
      </c>
      <c r="E48" s="7" t="s">
        <v>31</v>
      </c>
      <c r="F48" s="7" t="s">
        <v>15</v>
      </c>
      <c r="H48" t="str">
        <f t="shared" si="13"/>
        <v/>
      </c>
    </row>
    <row r="49" spans="1:8" x14ac:dyDescent="0.35">
      <c r="A49">
        <v>96</v>
      </c>
      <c r="B49" s="7" t="s">
        <v>124</v>
      </c>
      <c r="C49" s="7" t="s">
        <v>166</v>
      </c>
      <c r="D49" s="7" t="s">
        <v>69</v>
      </c>
      <c r="E49" s="7" t="s">
        <v>31</v>
      </c>
      <c r="F49" s="7" t="s">
        <v>15</v>
      </c>
      <c r="H49" t="str">
        <f t="shared" si="13"/>
        <v/>
      </c>
    </row>
    <row r="50" spans="1:8" x14ac:dyDescent="0.35">
      <c r="A50">
        <v>97</v>
      </c>
      <c r="B50" s="9" t="s">
        <v>125</v>
      </c>
      <c r="C50" s="9" t="s">
        <v>104</v>
      </c>
      <c r="D50" s="9" t="s">
        <v>69</v>
      </c>
      <c r="E50" s="9" t="s">
        <v>31</v>
      </c>
      <c r="F50" s="9" t="s">
        <v>21</v>
      </c>
      <c r="G50" t="str">
        <f t="shared" ref="G50" si="17">IF(COUNTIF(D50:D52,"SVP")+COUNTIF(D50:D52,"FDP")&gt;=2,"rechts",IF(COUNTIF(D50:D52,"SP")+COUNTIF(D50:D52,"Grüne")&gt;=2,"links",""))</f>
        <v>rechts</v>
      </c>
      <c r="H50" t="str">
        <f t="shared" si="13"/>
        <v>rechts_gutgeheissen</v>
      </c>
    </row>
    <row r="51" spans="1:8" x14ac:dyDescent="0.35">
      <c r="A51">
        <v>97</v>
      </c>
      <c r="B51" s="9" t="s">
        <v>125</v>
      </c>
      <c r="C51" s="9" t="s">
        <v>153</v>
      </c>
      <c r="D51" s="9" t="s">
        <v>47</v>
      </c>
      <c r="E51" s="9" t="s">
        <v>31</v>
      </c>
      <c r="F51" s="9" t="s">
        <v>21</v>
      </c>
      <c r="H51" t="str">
        <f t="shared" si="13"/>
        <v/>
      </c>
    </row>
    <row r="52" spans="1:8" x14ac:dyDescent="0.35">
      <c r="A52">
        <v>97</v>
      </c>
      <c r="B52" s="9" t="s">
        <v>125</v>
      </c>
      <c r="C52" s="9" t="s">
        <v>166</v>
      </c>
      <c r="D52" s="9" t="s">
        <v>69</v>
      </c>
      <c r="E52" s="9" t="s">
        <v>31</v>
      </c>
      <c r="F52" s="9" t="s">
        <v>21</v>
      </c>
      <c r="H52" t="str">
        <f t="shared" si="13"/>
        <v/>
      </c>
    </row>
    <row r="53" spans="1:8" x14ac:dyDescent="0.35">
      <c r="A53">
        <v>93</v>
      </c>
      <c r="B53" s="3" t="s">
        <v>121</v>
      </c>
      <c r="C53" s="3" t="s">
        <v>104</v>
      </c>
      <c r="D53" s="3" t="s">
        <v>69</v>
      </c>
      <c r="E53" s="3" t="s">
        <v>31</v>
      </c>
      <c r="F53" s="3" t="s">
        <v>26</v>
      </c>
      <c r="G53" t="str">
        <f t="shared" ref="G53" si="18">IF(COUNTIF(D53:D55,"SVP")+COUNTIF(D53:D55,"FDP")&gt;=2,"rechts",IF(COUNTIF(D53:D55,"SP")+COUNTIF(D53:D55,"Grüne")&gt;=2,"links",""))</f>
        <v>links</v>
      </c>
      <c r="H53" t="str">
        <f t="shared" si="13"/>
        <v>links_kein_erfolg</v>
      </c>
    </row>
    <row r="54" spans="1:8" x14ac:dyDescent="0.35">
      <c r="A54">
        <v>93</v>
      </c>
      <c r="B54" s="3" t="s">
        <v>121</v>
      </c>
      <c r="C54" s="3" t="s">
        <v>151</v>
      </c>
      <c r="D54" s="3" t="s">
        <v>8</v>
      </c>
      <c r="E54" s="3" t="s">
        <v>31</v>
      </c>
      <c r="F54" s="3" t="s">
        <v>26</v>
      </c>
      <c r="H54" t="str">
        <f t="shared" si="13"/>
        <v/>
      </c>
    </row>
    <row r="55" spans="1:8" x14ac:dyDescent="0.35">
      <c r="A55">
        <v>93</v>
      </c>
      <c r="B55" s="3" t="s">
        <v>121</v>
      </c>
      <c r="C55" s="3" t="s">
        <v>152</v>
      </c>
      <c r="D55" s="3" t="s">
        <v>8</v>
      </c>
      <c r="E55" s="3" t="s">
        <v>31</v>
      </c>
      <c r="F55" s="3" t="s">
        <v>26</v>
      </c>
      <c r="H55" t="str">
        <f t="shared" si="13"/>
        <v/>
      </c>
    </row>
  </sheetData>
  <autoFilter ref="A1:F55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AbgleichMitOrigonal (2)</vt:lpstr>
      <vt:lpstr>Analyse-3judg_dec</vt:lpstr>
      <vt:lpstr>Analyse-3judg_dec_Straf</vt:lpstr>
      <vt:lpstr>Analyse-3judg_dec_Öffrecht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Mischa Aebi</cp:lastModifiedBy>
  <dcterms:created xsi:type="dcterms:W3CDTF">2026-07-24T03:13:22Z</dcterms:created>
  <dcterms:modified xsi:type="dcterms:W3CDTF">2026-07-24T19:57:04Z</dcterms:modified>
</cp:coreProperties>
</file>